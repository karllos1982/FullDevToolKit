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5415" yWindow="-195" windowWidth="18735" windowHeight="11700" activeTab="1"/>
  </bookViews>
  <sheets>
    <sheet name="en-us" sheetId="1" r:id="rId1"/>
    <sheet name="pt-br" sheetId="4" r:id="rId2"/>
    <sheet name="num" sheetId="2" r:id="rId3"/>
    <sheet name="Plan3" sheetId="3" r:id="rId4"/>
  </sheets>
  <calcPr calcId="162913"/>
</workbook>
</file>

<file path=xl/calcChain.xml><?xml version="1.0" encoding="utf-8"?>
<calcChain xmlns="http://schemas.openxmlformats.org/spreadsheetml/2006/main">
  <c r="D351" i="4" l="1"/>
  <c r="E351" i="4"/>
  <c r="D351" i="1"/>
  <c r="E351" i="1"/>
  <c r="E349" i="1" l="1"/>
  <c r="E350" i="4"/>
  <c r="E349" i="4"/>
  <c r="E348" i="4"/>
  <c r="E348" i="1"/>
  <c r="D350" i="4"/>
  <c r="D349" i="4"/>
  <c r="D348" i="4"/>
  <c r="D348" i="1"/>
  <c r="E350" i="1"/>
  <c r="D350" i="1"/>
  <c r="D349" i="1"/>
  <c r="F348" i="4" l="1"/>
  <c r="E347" i="4"/>
  <c r="E346" i="4"/>
  <c r="E345" i="4"/>
  <c r="D347" i="4"/>
  <c r="D346" i="4"/>
  <c r="D345" i="4"/>
  <c r="C347" i="4"/>
  <c r="F347" i="4"/>
  <c r="C348" i="4"/>
  <c r="C349" i="4"/>
  <c r="F349" i="4"/>
  <c r="C350" i="4"/>
  <c r="F350" i="4"/>
  <c r="C351" i="4"/>
  <c r="F351" i="4"/>
  <c r="C352" i="4"/>
  <c r="D352" i="4"/>
  <c r="E352" i="4"/>
  <c r="F352" i="4"/>
  <c r="C353" i="4"/>
  <c r="D353" i="4"/>
  <c r="E353" i="4"/>
  <c r="F353" i="4"/>
  <c r="C354" i="4"/>
  <c r="D354" i="4"/>
  <c r="E354" i="4"/>
  <c r="F354" i="4"/>
  <c r="C355" i="4"/>
  <c r="D355" i="4"/>
  <c r="E355" i="4"/>
  <c r="F355" i="4"/>
  <c r="E347" i="1"/>
  <c r="D347" i="1"/>
  <c r="E346" i="1"/>
  <c r="D346" i="1"/>
  <c r="E345" i="1"/>
  <c r="D345" i="1"/>
  <c r="C347" i="1"/>
  <c r="F347" i="1"/>
  <c r="C348" i="1"/>
  <c r="F348" i="1"/>
  <c r="C349" i="1"/>
  <c r="F349" i="1"/>
  <c r="C350" i="1"/>
  <c r="F350" i="1"/>
  <c r="C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E344" i="4" l="1"/>
  <c r="E343" i="4"/>
  <c r="E342" i="4"/>
  <c r="E341" i="4"/>
  <c r="E340" i="4"/>
  <c r="E339" i="4"/>
  <c r="E338" i="4"/>
  <c r="C346" i="4"/>
  <c r="F346" i="4" s="1"/>
  <c r="C345" i="4"/>
  <c r="F345" i="4" s="1"/>
  <c r="D344" i="4"/>
  <c r="C344" i="4"/>
  <c r="F344" i="4" s="1"/>
  <c r="D343" i="4"/>
  <c r="C343" i="4"/>
  <c r="D342" i="4"/>
  <c r="C342" i="4"/>
  <c r="F342" i="4" s="1"/>
  <c r="D341" i="4"/>
  <c r="C341" i="4"/>
  <c r="F341" i="4" s="1"/>
  <c r="D340" i="4"/>
  <c r="C340" i="4"/>
  <c r="F340" i="4" s="1"/>
  <c r="D339" i="4"/>
  <c r="C339" i="4"/>
  <c r="F339" i="4" s="1"/>
  <c r="D338" i="4"/>
  <c r="C338" i="4"/>
  <c r="F338" i="4" s="1"/>
  <c r="E344" i="1"/>
  <c r="D344" i="1"/>
  <c r="E343" i="1"/>
  <c r="D343" i="1"/>
  <c r="E342" i="1"/>
  <c r="D342" i="1"/>
  <c r="C343" i="1"/>
  <c r="F343" i="1" s="1"/>
  <c r="C344" i="1"/>
  <c r="F344" i="1" s="1"/>
  <c r="C345" i="1"/>
  <c r="F345" i="1" s="1"/>
  <c r="C346" i="1"/>
  <c r="F346" i="1" s="1"/>
  <c r="F343" i="4" l="1"/>
  <c r="D319" i="1"/>
  <c r="D341" i="1"/>
  <c r="D338" i="1"/>
  <c r="D340" i="1"/>
  <c r="D339" i="1"/>
  <c r="E341" i="1"/>
  <c r="E340" i="1"/>
  <c r="E339" i="1"/>
  <c r="E338" i="1"/>
  <c r="C338" i="1"/>
  <c r="C339" i="1"/>
  <c r="C340" i="1"/>
  <c r="F340" i="1" s="1"/>
  <c r="C341" i="1"/>
  <c r="C342" i="1"/>
  <c r="F342" i="1" s="1"/>
  <c r="D328" i="4"/>
  <c r="E337" i="4"/>
  <c r="C337" i="4"/>
  <c r="D337" i="4"/>
  <c r="F337" i="4"/>
  <c r="E337" i="1"/>
  <c r="D337" i="1"/>
  <c r="D333" i="1"/>
  <c r="C337" i="1"/>
  <c r="F337" i="1" s="1"/>
  <c r="E336" i="4"/>
  <c r="E334" i="4"/>
  <c r="E333" i="4"/>
  <c r="E332" i="4"/>
  <c r="E331" i="4"/>
  <c r="E330" i="4"/>
  <c r="E329" i="1"/>
  <c r="E328" i="4"/>
  <c r="D336" i="4"/>
  <c r="C336" i="4"/>
  <c r="F336" i="4" s="1"/>
  <c r="E335" i="4"/>
  <c r="D335" i="4"/>
  <c r="C335" i="4"/>
  <c r="F335" i="4" s="1"/>
  <c r="D334" i="4"/>
  <c r="C334" i="4"/>
  <c r="F334" i="4" s="1"/>
  <c r="D333" i="4"/>
  <c r="C333" i="4"/>
  <c r="F333" i="4" s="1"/>
  <c r="D332" i="4"/>
  <c r="C332" i="4"/>
  <c r="F332" i="4" s="1"/>
  <c r="D331" i="4"/>
  <c r="C331" i="4"/>
  <c r="F331" i="4" s="1"/>
  <c r="D330" i="4"/>
  <c r="C330" i="4"/>
  <c r="F330" i="4" s="1"/>
  <c r="E329" i="4"/>
  <c r="D329" i="4"/>
  <c r="C329" i="4"/>
  <c r="F329" i="4" s="1"/>
  <c r="C328" i="4"/>
  <c r="F328" i="4" s="1"/>
  <c r="D329" i="1"/>
  <c r="C329" i="1"/>
  <c r="D335" i="1"/>
  <c r="E336" i="1"/>
  <c r="D336" i="1"/>
  <c r="E335" i="1"/>
  <c r="E334" i="1"/>
  <c r="D334" i="1"/>
  <c r="C335" i="1"/>
  <c r="F335" i="1"/>
  <c r="C336" i="1"/>
  <c r="F336" i="1" s="1"/>
  <c r="E333" i="1"/>
  <c r="E332" i="1"/>
  <c r="D332" i="1"/>
  <c r="E331" i="1"/>
  <c r="D331" i="1"/>
  <c r="C331" i="1"/>
  <c r="F331" i="1"/>
  <c r="C332" i="1"/>
  <c r="F332" i="1" s="1"/>
  <c r="C333" i="1"/>
  <c r="F333" i="1"/>
  <c r="C334" i="1"/>
  <c r="E330" i="1"/>
  <c r="D330" i="1"/>
  <c r="E328" i="1"/>
  <c r="D328" i="1"/>
  <c r="C328" i="1"/>
  <c r="C330" i="1"/>
  <c r="C327" i="4"/>
  <c r="C326" i="4"/>
  <c r="C325" i="4"/>
  <c r="C324" i="4"/>
  <c r="C323" i="4"/>
  <c r="C322" i="4"/>
  <c r="C321" i="4"/>
  <c r="C321" i="1"/>
  <c r="C322" i="1"/>
  <c r="C323" i="1"/>
  <c r="C324" i="1"/>
  <c r="C325" i="1"/>
  <c r="C326" i="1"/>
  <c r="C327" i="1"/>
  <c r="F341" i="1" l="1"/>
  <c r="F339" i="1"/>
  <c r="F338" i="1"/>
  <c r="F329" i="1"/>
  <c r="F334" i="1"/>
  <c r="F330" i="1"/>
  <c r="F328" i="1"/>
  <c r="C320" i="4"/>
  <c r="C319" i="4"/>
  <c r="C318" i="4"/>
  <c r="C319" i="1"/>
  <c r="C320" i="1"/>
  <c r="C318" i="1"/>
  <c r="C317" i="4" l="1"/>
  <c r="C316" i="4"/>
  <c r="C315" i="4"/>
  <c r="C317" i="1"/>
  <c r="C316" i="1"/>
  <c r="C315" i="1"/>
  <c r="C314" i="4"/>
  <c r="C313" i="4"/>
  <c r="C312" i="4"/>
  <c r="C311" i="4"/>
  <c r="C314" i="1"/>
  <c r="C313" i="1"/>
  <c r="C312" i="1"/>
  <c r="C311" i="1"/>
  <c r="C297" i="4" l="1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296" i="4" l="1"/>
  <c r="C295" i="4"/>
  <c r="C296" i="1"/>
  <c r="C295" i="1"/>
  <c r="C294" i="4" l="1"/>
  <c r="C294" i="1"/>
  <c r="C282" i="4"/>
  <c r="C282" i="1"/>
  <c r="C293" i="4"/>
  <c r="C292" i="4"/>
  <c r="C291" i="4"/>
  <c r="C290" i="4"/>
  <c r="C289" i="4"/>
  <c r="C288" i="4"/>
  <c r="C287" i="4"/>
  <c r="C286" i="4"/>
  <c r="C285" i="4"/>
  <c r="C284" i="4"/>
  <c r="C283" i="4"/>
  <c r="C293" i="1"/>
  <c r="C289" i="1"/>
  <c r="C290" i="1"/>
  <c r="C291" i="1"/>
  <c r="C292" i="1"/>
  <c r="C284" i="1"/>
  <c r="C285" i="1"/>
  <c r="C286" i="1"/>
  <c r="C287" i="1"/>
  <c r="C288" i="1"/>
  <c r="C275" i="1"/>
  <c r="C274" i="1"/>
  <c r="C274" i="4" l="1"/>
  <c r="F274" i="4" s="1"/>
  <c r="C275" i="4"/>
  <c r="F275" i="4" s="1"/>
  <c r="C276" i="4"/>
  <c r="C277" i="4"/>
  <c r="C278" i="4"/>
  <c r="C279" i="4"/>
  <c r="C280" i="4"/>
  <c r="C281" i="4"/>
  <c r="C283" i="1"/>
  <c r="C281" i="1"/>
  <c r="C276" i="1"/>
  <c r="C280" i="1"/>
  <c r="C279" i="1"/>
  <c r="C278" i="1"/>
  <c r="C277" i="1"/>
  <c r="C256" i="1"/>
  <c r="C273" i="4"/>
  <c r="C269" i="4"/>
  <c r="C270" i="4"/>
  <c r="C271" i="4"/>
  <c r="C272" i="4"/>
  <c r="C262" i="4"/>
  <c r="C263" i="4"/>
  <c r="C264" i="4"/>
  <c r="C265" i="4"/>
  <c r="C266" i="4"/>
  <c r="C267" i="4"/>
  <c r="C268" i="4"/>
  <c r="C256" i="4"/>
  <c r="C257" i="4"/>
  <c r="C258" i="4"/>
  <c r="C259" i="4"/>
  <c r="C260" i="4"/>
  <c r="C261" i="4"/>
  <c r="C269" i="1"/>
  <c r="C270" i="1"/>
  <c r="C271" i="1"/>
  <c r="C272" i="1"/>
  <c r="C273" i="1"/>
  <c r="C264" i="1"/>
  <c r="C265" i="1"/>
  <c r="C266" i="1"/>
  <c r="C267" i="1"/>
  <c r="C268" i="1"/>
  <c r="C257" i="1"/>
  <c r="C258" i="1"/>
  <c r="C259" i="1"/>
  <c r="C260" i="1"/>
  <c r="C261" i="1"/>
  <c r="C262" i="1"/>
  <c r="C263" i="1"/>
  <c r="C109" i="4"/>
  <c r="C110" i="4"/>
  <c r="C111" i="4"/>
  <c r="C112" i="4"/>
  <c r="C113" i="4"/>
  <c r="C114" i="4"/>
  <c r="C115" i="4"/>
  <c r="C116" i="4"/>
  <c r="C117" i="4"/>
  <c r="C118" i="4"/>
  <c r="C119" i="4"/>
  <c r="C120" i="4"/>
  <c r="C109" i="1"/>
  <c r="C110" i="1"/>
  <c r="C111" i="1"/>
  <c r="C112" i="1"/>
  <c r="C113" i="1"/>
  <c r="C114" i="1"/>
  <c r="C115" i="1"/>
  <c r="C116" i="1"/>
  <c r="C117" i="1"/>
  <c r="C118" i="1"/>
  <c r="C119" i="1"/>
  <c r="C120" i="1"/>
  <c r="C98" i="4"/>
  <c r="C99" i="4"/>
  <c r="C100" i="4"/>
  <c r="C101" i="4"/>
  <c r="C102" i="4"/>
  <c r="C103" i="4"/>
  <c r="C104" i="4"/>
  <c r="C105" i="4"/>
  <c r="C106" i="4"/>
  <c r="C107" i="4"/>
  <c r="C108" i="4"/>
  <c r="C98" i="1"/>
  <c r="C99" i="1"/>
  <c r="C100" i="1"/>
  <c r="C101" i="1"/>
  <c r="C102" i="1"/>
  <c r="C103" i="1"/>
  <c r="C104" i="1"/>
  <c r="C105" i="1"/>
  <c r="C106" i="1"/>
  <c r="C107" i="1"/>
  <c r="C108" i="1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4"/>
  <c r="F2" i="4" s="1"/>
  <c r="C3" i="4"/>
  <c r="F3" i="4" s="1"/>
  <c r="C4" i="4"/>
  <c r="F4" i="4" s="1"/>
  <c r="C5" i="4"/>
  <c r="F5" i="4" s="1"/>
  <c r="C6" i="4"/>
  <c r="F6" i="4" s="1"/>
  <c r="C7" i="4"/>
  <c r="F7" i="4" s="1"/>
  <c r="C8" i="4"/>
  <c r="F8" i="4" s="1"/>
  <c r="C9" i="4"/>
  <c r="F9" i="4" s="1"/>
  <c r="C10" i="4"/>
  <c r="F10" i="4" s="1"/>
  <c r="C11" i="4"/>
  <c r="F11" i="4" s="1"/>
  <c r="C12" i="4"/>
  <c r="F12" i="4" s="1"/>
  <c r="C13" i="4"/>
  <c r="F13" i="4" s="1"/>
  <c r="C14" i="4"/>
  <c r="F14" i="4" s="1"/>
  <c r="C15" i="4"/>
  <c r="F15" i="4" s="1"/>
  <c r="C16" i="4"/>
  <c r="F16" i="4" s="1"/>
  <c r="C17" i="4"/>
  <c r="F17" i="4" s="1"/>
  <c r="C18" i="4"/>
  <c r="F18" i="4" s="1"/>
  <c r="C19" i="4"/>
  <c r="F19" i="4" s="1"/>
  <c r="C20" i="4"/>
  <c r="F20" i="4" s="1"/>
  <c r="C21" i="4"/>
  <c r="F21" i="4" s="1"/>
  <c r="C22" i="4"/>
  <c r="F22" i="4" s="1"/>
  <c r="C23" i="4"/>
  <c r="F23" i="4" s="1"/>
  <c r="C24" i="4"/>
  <c r="F24" i="4" s="1"/>
  <c r="C25" i="4"/>
  <c r="F25" i="4" s="1"/>
  <c r="C26" i="4"/>
  <c r="F26" i="4" s="1"/>
  <c r="C27" i="4"/>
  <c r="F27" i="4" s="1"/>
  <c r="C28" i="4"/>
  <c r="F28" i="4" s="1"/>
  <c r="C29" i="4"/>
  <c r="F29" i="4" s="1"/>
  <c r="C30" i="4"/>
  <c r="F30" i="4" s="1"/>
  <c r="C31" i="4"/>
  <c r="F31" i="4" s="1"/>
  <c r="C32" i="4"/>
  <c r="F32" i="4" s="1"/>
  <c r="C33" i="4"/>
  <c r="F33" i="4" s="1"/>
  <c r="C34" i="4"/>
  <c r="F34" i="4" s="1"/>
  <c r="C35" i="4"/>
  <c r="F35" i="4" s="1"/>
  <c r="C36" i="4"/>
  <c r="F36" i="4" s="1"/>
  <c r="C37" i="4"/>
  <c r="F37" i="4" s="1"/>
  <c r="C38" i="4"/>
  <c r="F38" i="4" s="1"/>
  <c r="C39" i="4"/>
  <c r="F39" i="4" s="1"/>
  <c r="C40" i="4"/>
  <c r="F40" i="4" s="1"/>
  <c r="C41" i="4"/>
  <c r="F41" i="4" s="1"/>
  <c r="C42" i="4"/>
  <c r="F42" i="4" s="1"/>
  <c r="C43" i="4"/>
  <c r="F43" i="4" s="1"/>
  <c r="C44" i="4"/>
  <c r="F44" i="4" s="1"/>
  <c r="C45" i="4"/>
  <c r="F45" i="4" s="1"/>
  <c r="C46" i="4"/>
  <c r="F46" i="4" s="1"/>
  <c r="C47" i="4"/>
  <c r="F47" i="4" s="1"/>
  <c r="C48" i="4"/>
  <c r="F48" i="4" s="1"/>
  <c r="C49" i="4"/>
  <c r="F49" i="4" s="1"/>
  <c r="C50" i="4"/>
  <c r="F50" i="4" s="1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" i="1"/>
  <c r="F2" i="1" s="1"/>
  <c r="C3" i="1"/>
  <c r="F3" i="1" s="1"/>
  <c r="C4" i="1"/>
  <c r="F4" i="1" s="1"/>
  <c r="C5" i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F19" i="1" s="1"/>
  <c r="C20" i="1"/>
  <c r="F20" i="1" s="1"/>
  <c r="C21" i="1"/>
  <c r="F21" i="1" s="1"/>
  <c r="C22" i="1"/>
  <c r="F22" i="1" s="1"/>
  <c r="C23" i="1"/>
  <c r="F23" i="1" s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C43" i="1"/>
  <c r="F43" i="1" s="1"/>
  <c r="C44" i="1"/>
  <c r="F44" i="1" s="1"/>
  <c r="C45" i="1"/>
  <c r="F45" i="1" s="1"/>
  <c r="C46" i="1"/>
  <c r="F46" i="1" s="1"/>
  <c r="C47" i="1"/>
  <c r="F47" i="1" s="1"/>
  <c r="C48" i="1"/>
  <c r="F48" i="1" s="1"/>
  <c r="C49" i="1"/>
  <c r="F49" i="1" s="1"/>
  <c r="C50" i="1"/>
  <c r="F50" i="1" s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N1" i="4"/>
  <c r="C1" i="4"/>
  <c r="F1" i="4" s="1"/>
  <c r="C1" i="1"/>
  <c r="F1" i="1" s="1"/>
  <c r="N1" i="1"/>
  <c r="B63" i="3"/>
  <c r="B64" i="3"/>
  <c r="B51" i="3"/>
  <c r="B52" i="3"/>
  <c r="B53" i="3"/>
  <c r="B54" i="3"/>
  <c r="B55" i="3"/>
  <c r="B56" i="3"/>
  <c r="B57" i="3"/>
  <c r="B58" i="3"/>
  <c r="B59" i="3"/>
  <c r="B60" i="3"/>
  <c r="B61" i="3"/>
  <c r="B62" i="3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1" i="3"/>
  <c r="E152" i="4" l="1"/>
  <c r="E325" i="4"/>
  <c r="E322" i="4"/>
  <c r="D326" i="4"/>
  <c r="F326" i="4" s="1"/>
  <c r="D324" i="4"/>
  <c r="F324" i="4" s="1"/>
  <c r="D322" i="4"/>
  <c r="F322" i="4" s="1"/>
  <c r="E324" i="4"/>
  <c r="E321" i="4"/>
  <c r="E327" i="4"/>
  <c r="E323" i="4"/>
  <c r="D327" i="4"/>
  <c r="D325" i="4"/>
  <c r="F325" i="4" s="1"/>
  <c r="D323" i="4"/>
  <c r="F323" i="4" s="1"/>
  <c r="D321" i="4"/>
  <c r="E326" i="4"/>
  <c r="E83" i="4"/>
  <c r="E320" i="4"/>
  <c r="E319" i="4"/>
  <c r="D319" i="4"/>
  <c r="E318" i="4"/>
  <c r="D320" i="4"/>
  <c r="F320" i="4" s="1"/>
  <c r="D318" i="4"/>
  <c r="E317" i="4"/>
  <c r="E314" i="4"/>
  <c r="D314" i="4"/>
  <c r="D312" i="4"/>
  <c r="F312" i="4" s="1"/>
  <c r="E313" i="4"/>
  <c r="D311" i="4"/>
  <c r="D317" i="4"/>
  <c r="F317" i="4" s="1"/>
  <c r="D315" i="4"/>
  <c r="E312" i="4"/>
  <c r="D313" i="4"/>
  <c r="F313" i="4" s="1"/>
  <c r="E315" i="4"/>
  <c r="E316" i="4"/>
  <c r="D316" i="4"/>
  <c r="E311" i="4"/>
  <c r="E308" i="4"/>
  <c r="E304" i="4"/>
  <c r="E300" i="4"/>
  <c r="D307" i="4"/>
  <c r="F307" i="4" s="1"/>
  <c r="D303" i="4"/>
  <c r="D299" i="4"/>
  <c r="D310" i="4"/>
  <c r="D306" i="4"/>
  <c r="F306" i="4" s="1"/>
  <c r="D302" i="4"/>
  <c r="D298" i="4"/>
  <c r="E307" i="4"/>
  <c r="E303" i="4"/>
  <c r="E299" i="4"/>
  <c r="E310" i="4"/>
  <c r="E306" i="4"/>
  <c r="E302" i="4"/>
  <c r="E298" i="4"/>
  <c r="D309" i="4"/>
  <c r="D305" i="4"/>
  <c r="D301" i="4"/>
  <c r="E297" i="4"/>
  <c r="E309" i="4"/>
  <c r="E305" i="4"/>
  <c r="E301" i="4"/>
  <c r="D308" i="4"/>
  <c r="F308" i="4" s="1"/>
  <c r="D304" i="4"/>
  <c r="F304" i="4" s="1"/>
  <c r="D300" i="4"/>
  <c r="F300" i="4" s="1"/>
  <c r="D297" i="4"/>
  <c r="F297" i="4" s="1"/>
  <c r="E296" i="4"/>
  <c r="D295" i="4"/>
  <c r="F295" i="4" s="1"/>
  <c r="E295" i="4"/>
  <c r="D296" i="4"/>
  <c r="F296" i="4" s="1"/>
  <c r="D283" i="4"/>
  <c r="E294" i="4"/>
  <c r="E291" i="4"/>
  <c r="E287" i="4"/>
  <c r="E285" i="4"/>
  <c r="D294" i="4"/>
  <c r="F294" i="4" s="1"/>
  <c r="E290" i="4"/>
  <c r="E286" i="4"/>
  <c r="E282" i="4"/>
  <c r="D292" i="4"/>
  <c r="F292" i="4" s="1"/>
  <c r="D290" i="4"/>
  <c r="F290" i="4" s="1"/>
  <c r="D288" i="4"/>
  <c r="D286" i="4"/>
  <c r="D284" i="4"/>
  <c r="E293" i="4"/>
  <c r="E289" i="4"/>
  <c r="E284" i="4"/>
  <c r="D282" i="4"/>
  <c r="E292" i="4"/>
  <c r="E288" i="4"/>
  <c r="E283" i="4"/>
  <c r="D293" i="4"/>
  <c r="F293" i="4" s="1"/>
  <c r="D291" i="4"/>
  <c r="F291" i="4" s="1"/>
  <c r="D289" i="4"/>
  <c r="F289" i="4" s="1"/>
  <c r="D287" i="4"/>
  <c r="D285" i="4"/>
  <c r="E281" i="4"/>
  <c r="E277" i="4"/>
  <c r="D279" i="4"/>
  <c r="E280" i="4"/>
  <c r="E276" i="4"/>
  <c r="D278" i="4"/>
  <c r="E279" i="4"/>
  <c r="D281" i="4"/>
  <c r="D277" i="4"/>
  <c r="D276" i="4"/>
  <c r="E278" i="4"/>
  <c r="D280" i="4"/>
  <c r="E62" i="1"/>
  <c r="E327" i="1"/>
  <c r="D326" i="1"/>
  <c r="F326" i="1" s="1"/>
  <c r="D324" i="1"/>
  <c r="E321" i="1"/>
  <c r="D327" i="1"/>
  <c r="F327" i="1" s="1"/>
  <c r="D321" i="1"/>
  <c r="F321" i="1" s="1"/>
  <c r="E325" i="1"/>
  <c r="D323" i="1"/>
  <c r="E326" i="1"/>
  <c r="E324" i="1"/>
  <c r="D322" i="1"/>
  <c r="D304" i="1"/>
  <c r="D325" i="1"/>
  <c r="E322" i="1"/>
  <c r="E323" i="1"/>
  <c r="E83" i="1"/>
  <c r="D318" i="1"/>
  <c r="E320" i="1"/>
  <c r="E319" i="1"/>
  <c r="D320" i="1"/>
  <c r="E318" i="1"/>
  <c r="E316" i="1"/>
  <c r="D316" i="1"/>
  <c r="F316" i="1" s="1"/>
  <c r="E314" i="1"/>
  <c r="E313" i="1"/>
  <c r="E315" i="1"/>
  <c r="D314" i="1"/>
  <c r="F314" i="1" s="1"/>
  <c r="E311" i="1"/>
  <c r="E312" i="1"/>
  <c r="D312" i="1"/>
  <c r="D317" i="1"/>
  <c r="D311" i="1"/>
  <c r="F311" i="1" s="1"/>
  <c r="E317" i="1"/>
  <c r="D315" i="1"/>
  <c r="F315" i="1" s="1"/>
  <c r="D313" i="1"/>
  <c r="E309" i="1"/>
  <c r="E307" i="1"/>
  <c r="E305" i="1"/>
  <c r="D303" i="1"/>
  <c r="F303" i="1" s="1"/>
  <c r="D301" i="1"/>
  <c r="D299" i="1"/>
  <c r="F299" i="1" s="1"/>
  <c r="D297" i="1"/>
  <c r="D307" i="1"/>
  <c r="E302" i="1"/>
  <c r="E298" i="1"/>
  <c r="E306" i="1"/>
  <c r="E304" i="1"/>
  <c r="D298" i="1"/>
  <c r="D308" i="1"/>
  <c r="F308" i="1" s="1"/>
  <c r="E303" i="1"/>
  <c r="E297" i="1"/>
  <c r="D309" i="1"/>
  <c r="F309" i="1" s="1"/>
  <c r="D305" i="1"/>
  <c r="F305" i="1" s="1"/>
  <c r="E300" i="1"/>
  <c r="E310" i="1"/>
  <c r="D302" i="1"/>
  <c r="F302" i="1" s="1"/>
  <c r="D310" i="1"/>
  <c r="F310" i="1" s="1"/>
  <c r="E301" i="1"/>
  <c r="E308" i="1"/>
  <c r="D300" i="1"/>
  <c r="D306" i="1"/>
  <c r="F306" i="1" s="1"/>
  <c r="E299" i="1"/>
  <c r="E296" i="1"/>
  <c r="E295" i="1"/>
  <c r="D295" i="1"/>
  <c r="F295" i="1" s="1"/>
  <c r="D296" i="1"/>
  <c r="D283" i="1"/>
  <c r="D294" i="1"/>
  <c r="E282" i="1"/>
  <c r="E293" i="1"/>
  <c r="E289" i="1"/>
  <c r="E259" i="1"/>
  <c r="D293" i="1"/>
  <c r="F293" i="1" s="1"/>
  <c r="D290" i="1"/>
  <c r="D286" i="1"/>
  <c r="F286" i="1" s="1"/>
  <c r="E274" i="1"/>
  <c r="D289" i="1"/>
  <c r="F289" i="1" s="1"/>
  <c r="D285" i="1"/>
  <c r="E284" i="1"/>
  <c r="D282" i="1"/>
  <c r="E292" i="1"/>
  <c r="E288" i="1"/>
  <c r="E285" i="1"/>
  <c r="D274" i="1"/>
  <c r="F274" i="1" s="1"/>
  <c r="E275" i="1"/>
  <c r="E291" i="1"/>
  <c r="E287" i="1"/>
  <c r="D292" i="1"/>
  <c r="D288" i="1"/>
  <c r="F288" i="1" s="1"/>
  <c r="D284" i="1"/>
  <c r="D275" i="1"/>
  <c r="E294" i="1"/>
  <c r="E290" i="1"/>
  <c r="E286" i="1"/>
  <c r="E283" i="1"/>
  <c r="D291" i="1"/>
  <c r="D287" i="1"/>
  <c r="F287" i="1" s="1"/>
  <c r="E281" i="1"/>
  <c r="E279" i="1"/>
  <c r="E278" i="1"/>
  <c r="D277" i="1"/>
  <c r="D281" i="1"/>
  <c r="D280" i="1"/>
  <c r="D278" i="1"/>
  <c r="D273" i="1"/>
  <c r="F273" i="1" s="1"/>
  <c r="E276" i="1"/>
  <c r="D279" i="1"/>
  <c r="E280" i="1"/>
  <c r="D276" i="1"/>
  <c r="F276" i="1" s="1"/>
  <c r="E277" i="1"/>
  <c r="F83" i="4"/>
  <c r="F106" i="4"/>
  <c r="F279" i="1"/>
  <c r="F283" i="1"/>
  <c r="F278" i="4"/>
  <c r="F94" i="4"/>
  <c r="F106" i="1"/>
  <c r="F101" i="4"/>
  <c r="F259" i="1"/>
  <c r="F258" i="4"/>
  <c r="F277" i="1"/>
  <c r="F278" i="1"/>
  <c r="F281" i="1"/>
  <c r="F281" i="4"/>
  <c r="F277" i="4"/>
  <c r="F88" i="1"/>
  <c r="F101" i="1"/>
  <c r="F119" i="1"/>
  <c r="F280" i="1"/>
  <c r="F280" i="4"/>
  <c r="F276" i="4"/>
  <c r="F183" i="4"/>
  <c r="F79" i="4"/>
  <c r="F95" i="1"/>
  <c r="F96" i="4"/>
  <c r="F103" i="4"/>
  <c r="F110" i="1"/>
  <c r="F261" i="1"/>
  <c r="F273" i="4"/>
  <c r="F279" i="4"/>
  <c r="E269" i="4"/>
  <c r="E260" i="4"/>
  <c r="E87" i="4"/>
  <c r="E91" i="4"/>
  <c r="E95" i="4"/>
  <c r="D82" i="4"/>
  <c r="F82" i="4" s="1"/>
  <c r="D86" i="4"/>
  <c r="D90" i="4"/>
  <c r="F90" i="4" s="1"/>
  <c r="D94" i="4"/>
  <c r="E99" i="4"/>
  <c r="E103" i="4"/>
  <c r="E107" i="4"/>
  <c r="D100" i="4"/>
  <c r="F100" i="4" s="1"/>
  <c r="D104" i="4"/>
  <c r="F104" i="4" s="1"/>
  <c r="D108" i="4"/>
  <c r="F108" i="4" s="1"/>
  <c r="E114" i="4"/>
  <c r="E120" i="4"/>
  <c r="D117" i="4"/>
  <c r="F117" i="4" s="1"/>
  <c r="D113" i="4"/>
  <c r="F113" i="4" s="1"/>
  <c r="E115" i="4"/>
  <c r="D112" i="4"/>
  <c r="F112" i="4" s="1"/>
  <c r="D257" i="4"/>
  <c r="F257" i="4" s="1"/>
  <c r="D261" i="4"/>
  <c r="D264" i="4"/>
  <c r="F264" i="4" s="1"/>
  <c r="D268" i="4"/>
  <c r="F268" i="4" s="1"/>
  <c r="D271" i="4"/>
  <c r="F271" i="4" s="1"/>
  <c r="E257" i="4"/>
  <c r="E261" i="4"/>
  <c r="F261" i="4" s="1"/>
  <c r="E266" i="4"/>
  <c r="E270" i="4"/>
  <c r="E273" i="4"/>
  <c r="E82" i="4"/>
  <c r="E86" i="4"/>
  <c r="F86" i="4" s="1"/>
  <c r="E90" i="4"/>
  <c r="E94" i="4"/>
  <c r="D81" i="4"/>
  <c r="F81" i="4" s="1"/>
  <c r="D85" i="4"/>
  <c r="F85" i="4" s="1"/>
  <c r="D89" i="4"/>
  <c r="F89" i="4" s="1"/>
  <c r="D93" i="4"/>
  <c r="F93" i="4" s="1"/>
  <c r="D97" i="4"/>
  <c r="F97" i="4" s="1"/>
  <c r="E98" i="4"/>
  <c r="E102" i="4"/>
  <c r="E106" i="4"/>
  <c r="D99" i="4"/>
  <c r="F99" i="4" s="1"/>
  <c r="D103" i="4"/>
  <c r="D107" i="4"/>
  <c r="F107" i="4" s="1"/>
  <c r="E113" i="4"/>
  <c r="E119" i="4"/>
  <c r="D110" i="4"/>
  <c r="F110" i="4" s="1"/>
  <c r="D120" i="4"/>
  <c r="F120" i="4" s="1"/>
  <c r="E112" i="4"/>
  <c r="D111" i="4"/>
  <c r="F111" i="4" s="1"/>
  <c r="D256" i="4"/>
  <c r="F256" i="4" s="1"/>
  <c r="D260" i="4"/>
  <c r="F260" i="4" s="1"/>
  <c r="D263" i="4"/>
  <c r="D267" i="4"/>
  <c r="F267" i="4" s="1"/>
  <c r="E256" i="4"/>
  <c r="E265" i="4"/>
  <c r="E272" i="4"/>
  <c r="E81" i="4"/>
  <c r="E85" i="4"/>
  <c r="E89" i="4"/>
  <c r="E93" i="4"/>
  <c r="E97" i="4"/>
  <c r="D84" i="4"/>
  <c r="F84" i="4" s="1"/>
  <c r="D88" i="4"/>
  <c r="F88" i="4" s="1"/>
  <c r="D92" i="4"/>
  <c r="F92" i="4" s="1"/>
  <c r="D96" i="4"/>
  <c r="E101" i="4"/>
  <c r="E105" i="4"/>
  <c r="D98" i="4"/>
  <c r="F98" i="4" s="1"/>
  <c r="D102" i="4"/>
  <c r="F102" i="4" s="1"/>
  <c r="D106" i="4"/>
  <c r="E110" i="4"/>
  <c r="E118" i="4"/>
  <c r="D109" i="4"/>
  <c r="D119" i="4"/>
  <c r="F119" i="4" s="1"/>
  <c r="D115" i="4"/>
  <c r="F115" i="4" s="1"/>
  <c r="E116" i="4"/>
  <c r="D259" i="4"/>
  <c r="F259" i="4" s="1"/>
  <c r="E262" i="4"/>
  <c r="D266" i="4"/>
  <c r="F266" i="4" s="1"/>
  <c r="D270" i="4"/>
  <c r="F270" i="4" s="1"/>
  <c r="D273" i="4"/>
  <c r="E259" i="4"/>
  <c r="E264" i="4"/>
  <c r="E268" i="4"/>
  <c r="E271" i="4"/>
  <c r="E84" i="4"/>
  <c r="E88" i="4"/>
  <c r="E92" i="4"/>
  <c r="E96" i="4"/>
  <c r="D83" i="4"/>
  <c r="D87" i="4"/>
  <c r="F87" i="4" s="1"/>
  <c r="D91" i="4"/>
  <c r="F91" i="4" s="1"/>
  <c r="D95" i="4"/>
  <c r="F95" i="4" s="1"/>
  <c r="E100" i="4"/>
  <c r="E104" i="4"/>
  <c r="E108" i="4"/>
  <c r="D101" i="4"/>
  <c r="D105" i="4"/>
  <c r="F105" i="4" s="1"/>
  <c r="E109" i="4"/>
  <c r="F109" i="4" s="1"/>
  <c r="E117" i="4"/>
  <c r="D118" i="4"/>
  <c r="F118" i="4" s="1"/>
  <c r="D114" i="4"/>
  <c r="F114" i="4" s="1"/>
  <c r="E111" i="4"/>
  <c r="D116" i="4"/>
  <c r="F116" i="4" s="1"/>
  <c r="D258" i="4"/>
  <c r="D262" i="4"/>
  <c r="F262" i="4" s="1"/>
  <c r="D265" i="4"/>
  <c r="F265" i="4" s="1"/>
  <c r="D269" i="4"/>
  <c r="F269" i="4" s="1"/>
  <c r="D272" i="4"/>
  <c r="F272" i="4" s="1"/>
  <c r="E258" i="4"/>
  <c r="E263" i="4"/>
  <c r="F263" i="4" s="1"/>
  <c r="E267" i="4"/>
  <c r="E118" i="1"/>
  <c r="E120" i="1"/>
  <c r="D109" i="1"/>
  <c r="F109" i="1" s="1"/>
  <c r="D117" i="1"/>
  <c r="F117" i="1" s="1"/>
  <c r="E115" i="1"/>
  <c r="D116" i="1"/>
  <c r="F116" i="1" s="1"/>
  <c r="E257" i="1"/>
  <c r="E260" i="1"/>
  <c r="E263" i="1"/>
  <c r="D265" i="1"/>
  <c r="F265" i="1" s="1"/>
  <c r="D269" i="1"/>
  <c r="F269" i="1" s="1"/>
  <c r="D272" i="1"/>
  <c r="F272" i="1" s="1"/>
  <c r="E267" i="1"/>
  <c r="E264" i="1"/>
  <c r="D126" i="1"/>
  <c r="F126" i="1" s="1"/>
  <c r="E119" i="1"/>
  <c r="D114" i="1"/>
  <c r="F114" i="1" s="1"/>
  <c r="D120" i="1"/>
  <c r="F120" i="1" s="1"/>
  <c r="E111" i="1"/>
  <c r="D112" i="1"/>
  <c r="F112" i="1" s="1"/>
  <c r="D257" i="1"/>
  <c r="F257" i="1" s="1"/>
  <c r="D259" i="1"/>
  <c r="D260" i="1"/>
  <c r="F260" i="1" s="1"/>
  <c r="D263" i="1"/>
  <c r="F263" i="1" s="1"/>
  <c r="D268" i="1"/>
  <c r="F268" i="1" s="1"/>
  <c r="D271" i="1"/>
  <c r="F271" i="1" s="1"/>
  <c r="E266" i="1"/>
  <c r="F266" i="1" s="1"/>
  <c r="E270" i="1"/>
  <c r="E273" i="1"/>
  <c r="D188" i="1"/>
  <c r="F188" i="1" s="1"/>
  <c r="D113" i="1"/>
  <c r="F113" i="1" s="1"/>
  <c r="D119" i="1"/>
  <c r="E112" i="1"/>
  <c r="E116" i="1"/>
  <c r="D111" i="1"/>
  <c r="F111" i="1" s="1"/>
  <c r="E256" i="1"/>
  <c r="E258" i="1"/>
  <c r="D261" i="1"/>
  <c r="E262" i="1"/>
  <c r="D267" i="1"/>
  <c r="F267" i="1" s="1"/>
  <c r="E265" i="1"/>
  <c r="E269" i="1"/>
  <c r="E272" i="1"/>
  <c r="D110" i="1"/>
  <c r="D118" i="1"/>
  <c r="F118" i="1" s="1"/>
  <c r="D115" i="1"/>
  <c r="F115" i="1" s="1"/>
  <c r="D256" i="1"/>
  <c r="F256" i="1" s="1"/>
  <c r="D258" i="1"/>
  <c r="F258" i="1" s="1"/>
  <c r="E261" i="1"/>
  <c r="D262" i="1"/>
  <c r="F262" i="1" s="1"/>
  <c r="D264" i="1"/>
  <c r="F264" i="1" s="1"/>
  <c r="D266" i="1"/>
  <c r="D270" i="1"/>
  <c r="F270" i="1" s="1"/>
  <c r="E268" i="1"/>
  <c r="E271" i="1"/>
  <c r="E108" i="1"/>
  <c r="D101" i="1"/>
  <c r="D105" i="1"/>
  <c r="F105" i="1" s="1"/>
  <c r="E109" i="1"/>
  <c r="E114" i="1"/>
  <c r="E117" i="1"/>
  <c r="E206" i="1"/>
  <c r="E253" i="1"/>
  <c r="D100" i="1"/>
  <c r="F100" i="1" s="1"/>
  <c r="D104" i="1"/>
  <c r="F104" i="1" s="1"/>
  <c r="E113" i="1"/>
  <c r="E159" i="1"/>
  <c r="D99" i="1"/>
  <c r="F99" i="1" s="1"/>
  <c r="D103" i="1"/>
  <c r="F103" i="1" s="1"/>
  <c r="D107" i="1"/>
  <c r="F107" i="1" s="1"/>
  <c r="D108" i="1"/>
  <c r="F108" i="1" s="1"/>
  <c r="E110" i="1"/>
  <c r="E246" i="1"/>
  <c r="D250" i="1"/>
  <c r="F250" i="1" s="1"/>
  <c r="D194" i="1"/>
  <c r="F194" i="1" s="1"/>
  <c r="D98" i="1"/>
  <c r="F98" i="1" s="1"/>
  <c r="D102" i="1"/>
  <c r="F102" i="1" s="1"/>
  <c r="D106" i="1"/>
  <c r="D123" i="1"/>
  <c r="F123" i="1" s="1"/>
  <c r="D249" i="1"/>
  <c r="E245" i="1"/>
  <c r="E250" i="1"/>
  <c r="E205" i="1"/>
  <c r="E192" i="1"/>
  <c r="E91" i="1"/>
  <c r="D85" i="1"/>
  <c r="F85" i="1" s="1"/>
  <c r="E99" i="1"/>
  <c r="E103" i="1"/>
  <c r="E107" i="1"/>
  <c r="E160" i="1"/>
  <c r="E126" i="1"/>
  <c r="D246" i="1"/>
  <c r="F246" i="1" s="1"/>
  <c r="D254" i="1"/>
  <c r="F254" i="1" s="1"/>
  <c r="E249" i="1"/>
  <c r="F249" i="1" s="1"/>
  <c r="D80" i="1"/>
  <c r="F80" i="1" s="1"/>
  <c r="D192" i="1"/>
  <c r="F192" i="1" s="1"/>
  <c r="E87" i="1"/>
  <c r="D81" i="1"/>
  <c r="F81" i="1" s="1"/>
  <c r="D97" i="1"/>
  <c r="F97" i="1" s="1"/>
  <c r="E98" i="1"/>
  <c r="E102" i="1"/>
  <c r="E106" i="1"/>
  <c r="E124" i="1"/>
  <c r="D245" i="1"/>
  <c r="F245" i="1" s="1"/>
  <c r="D252" i="1"/>
  <c r="F252" i="1" s="1"/>
  <c r="E248" i="1"/>
  <c r="E254" i="1"/>
  <c r="E188" i="1"/>
  <c r="D93" i="1"/>
  <c r="F93" i="1" s="1"/>
  <c r="E101" i="1"/>
  <c r="E105" i="1"/>
  <c r="E96" i="1"/>
  <c r="D89" i="1"/>
  <c r="F89" i="1" s="1"/>
  <c r="E100" i="1"/>
  <c r="E104" i="1"/>
  <c r="E84" i="1"/>
  <c r="E88" i="1"/>
  <c r="E93" i="1"/>
  <c r="E97" i="1"/>
  <c r="E92" i="1"/>
  <c r="D82" i="1"/>
  <c r="F82" i="1" s="1"/>
  <c r="D86" i="1"/>
  <c r="F86" i="1" s="1"/>
  <c r="D90" i="1"/>
  <c r="F90" i="1" s="1"/>
  <c r="D94" i="1"/>
  <c r="F94" i="1" s="1"/>
  <c r="E82" i="1"/>
  <c r="E86" i="1"/>
  <c r="E90" i="1"/>
  <c r="E95" i="1"/>
  <c r="D84" i="1"/>
  <c r="F84" i="1" s="1"/>
  <c r="D88" i="1"/>
  <c r="D92" i="1"/>
  <c r="F92" i="1" s="1"/>
  <c r="D96" i="1"/>
  <c r="F96" i="1" s="1"/>
  <c r="E157" i="1"/>
  <c r="E123" i="1"/>
  <c r="D124" i="1"/>
  <c r="F124" i="1" s="1"/>
  <c r="D248" i="1"/>
  <c r="F248" i="1" s="1"/>
  <c r="D253" i="1"/>
  <c r="F253" i="1" s="1"/>
  <c r="E244" i="1"/>
  <c r="E252" i="1"/>
  <c r="E239" i="1"/>
  <c r="D190" i="1"/>
  <c r="F190" i="1" s="1"/>
  <c r="E81" i="1"/>
  <c r="E85" i="1"/>
  <c r="E89" i="1"/>
  <c r="E94" i="1"/>
  <c r="D83" i="1"/>
  <c r="F83" i="1" s="1"/>
  <c r="D87" i="1"/>
  <c r="F87" i="1" s="1"/>
  <c r="D91" i="1"/>
  <c r="F91" i="1" s="1"/>
  <c r="D95" i="1"/>
  <c r="D192" i="4"/>
  <c r="E192" i="4"/>
  <c r="F192" i="4" s="1"/>
  <c r="E239" i="4"/>
  <c r="D190" i="4"/>
  <c r="F190" i="4" s="1"/>
  <c r="E190" i="4"/>
  <c r="E207" i="4"/>
  <c r="D207" i="4"/>
  <c r="F207" i="4" s="1"/>
  <c r="D188" i="4"/>
  <c r="F188" i="4" s="1"/>
  <c r="E188" i="4"/>
  <c r="E205" i="4"/>
  <c r="D205" i="4"/>
  <c r="F205" i="4" s="1"/>
  <c r="D194" i="4"/>
  <c r="F194" i="4" s="1"/>
  <c r="E194" i="4"/>
  <c r="D239" i="4"/>
  <c r="F239" i="4" s="1"/>
  <c r="E80" i="1"/>
  <c r="E204" i="1"/>
  <c r="E125" i="1"/>
  <c r="D125" i="1"/>
  <c r="F125" i="1" s="1"/>
  <c r="D247" i="1"/>
  <c r="F247" i="1" s="1"/>
  <c r="D251" i="1"/>
  <c r="F251" i="1" s="1"/>
  <c r="D255" i="1"/>
  <c r="F255" i="1" s="1"/>
  <c r="E247" i="1"/>
  <c r="E251" i="1"/>
  <c r="E255" i="1"/>
  <c r="E207" i="1"/>
  <c r="E190" i="1"/>
  <c r="E194" i="1"/>
  <c r="D239" i="1"/>
  <c r="F239" i="1" s="1"/>
  <c r="D207" i="1"/>
  <c r="F207" i="1" s="1"/>
  <c r="D205" i="1"/>
  <c r="F205" i="1" s="1"/>
  <c r="E80" i="4"/>
  <c r="E157" i="4"/>
  <c r="E124" i="4"/>
  <c r="D124" i="4"/>
  <c r="F124" i="4" s="1"/>
  <c r="D248" i="4"/>
  <c r="F248" i="4" s="1"/>
  <c r="D252" i="4"/>
  <c r="F252" i="4" s="1"/>
  <c r="E245" i="4"/>
  <c r="E249" i="4"/>
  <c r="E253" i="4"/>
  <c r="E79" i="4"/>
  <c r="E122" i="4"/>
  <c r="E123" i="4"/>
  <c r="D123" i="4"/>
  <c r="F123" i="4" s="1"/>
  <c r="D247" i="4"/>
  <c r="F247" i="4" s="1"/>
  <c r="D251" i="4"/>
  <c r="F251" i="4" s="1"/>
  <c r="D255" i="4"/>
  <c r="F255" i="4" s="1"/>
  <c r="E248" i="4"/>
  <c r="E252" i="4"/>
  <c r="D126" i="4"/>
  <c r="F126" i="4" s="1"/>
  <c r="D246" i="4"/>
  <c r="F246" i="4" s="1"/>
  <c r="D250" i="4"/>
  <c r="F250" i="4" s="1"/>
  <c r="D254" i="4"/>
  <c r="F254" i="4" s="1"/>
  <c r="E247" i="4"/>
  <c r="E251" i="4"/>
  <c r="E255" i="4"/>
  <c r="E121" i="4"/>
  <c r="E159" i="4"/>
  <c r="E126" i="4"/>
  <c r="E158" i="4"/>
  <c r="E125" i="4"/>
  <c r="D125" i="4"/>
  <c r="F125" i="4" s="1"/>
  <c r="D245" i="4"/>
  <c r="F245" i="4" s="1"/>
  <c r="D249" i="4"/>
  <c r="F249" i="4" s="1"/>
  <c r="D253" i="4"/>
  <c r="F253" i="4" s="1"/>
  <c r="E246" i="4"/>
  <c r="E250" i="4"/>
  <c r="E254" i="4"/>
  <c r="D80" i="4"/>
  <c r="F80" i="4" s="1"/>
  <c r="E77" i="4"/>
  <c r="E170" i="4"/>
  <c r="E174" i="4"/>
  <c r="E178" i="4"/>
  <c r="E183" i="4"/>
  <c r="E187" i="4"/>
  <c r="E195" i="4"/>
  <c r="E198" i="4"/>
  <c r="E202" i="4"/>
  <c r="E208" i="4"/>
  <c r="E214" i="4"/>
  <c r="E216" i="4"/>
  <c r="E220" i="4"/>
  <c r="E224" i="4"/>
  <c r="E228" i="4"/>
  <c r="E232" i="4"/>
  <c r="E236" i="4"/>
  <c r="E241" i="4"/>
  <c r="D52" i="4"/>
  <c r="F52" i="4" s="1"/>
  <c r="D56" i="4"/>
  <c r="F56" i="4" s="1"/>
  <c r="D60" i="4"/>
  <c r="F60" i="4" s="1"/>
  <c r="D64" i="4"/>
  <c r="F64" i="4" s="1"/>
  <c r="D68" i="4"/>
  <c r="F68" i="4" s="1"/>
  <c r="D72" i="4"/>
  <c r="F72" i="4" s="1"/>
  <c r="D76" i="4"/>
  <c r="F76" i="4" s="1"/>
  <c r="D122" i="4"/>
  <c r="F122" i="4" s="1"/>
  <c r="D130" i="4"/>
  <c r="F130" i="4" s="1"/>
  <c r="D134" i="4"/>
  <c r="F134" i="4" s="1"/>
  <c r="D138" i="4"/>
  <c r="F138" i="4" s="1"/>
  <c r="D142" i="4"/>
  <c r="F142" i="4" s="1"/>
  <c r="D146" i="4"/>
  <c r="F146" i="4" s="1"/>
  <c r="D150" i="4"/>
  <c r="F150" i="4" s="1"/>
  <c r="D154" i="4"/>
  <c r="F154" i="4" s="1"/>
  <c r="D158" i="4"/>
  <c r="F158" i="4" s="1"/>
  <c r="D162" i="4"/>
  <c r="F162" i="4" s="1"/>
  <c r="D167" i="4"/>
  <c r="D171" i="4"/>
  <c r="F171" i="4" s="1"/>
  <c r="D175" i="4"/>
  <c r="F175" i="4" s="1"/>
  <c r="D179" i="4"/>
  <c r="F179" i="4" s="1"/>
  <c r="D183" i="4"/>
  <c r="D187" i="4"/>
  <c r="F187" i="4" s="1"/>
  <c r="D195" i="4"/>
  <c r="F195" i="4" s="1"/>
  <c r="D199" i="4"/>
  <c r="D203" i="4"/>
  <c r="F203" i="4" s="1"/>
  <c r="D209" i="4"/>
  <c r="F209" i="4" s="1"/>
  <c r="D213" i="4"/>
  <c r="F213" i="4" s="1"/>
  <c r="D217" i="4"/>
  <c r="F217" i="4" s="1"/>
  <c r="D221" i="4"/>
  <c r="F221" i="4" s="1"/>
  <c r="D225" i="4"/>
  <c r="F225" i="4" s="1"/>
  <c r="D229" i="4"/>
  <c r="F229" i="4" s="1"/>
  <c r="D233" i="4"/>
  <c r="F233" i="4" s="1"/>
  <c r="D237" i="4"/>
  <c r="F237" i="4" s="1"/>
  <c r="D242" i="4"/>
  <c r="F242" i="4" s="1"/>
  <c r="D164" i="4"/>
  <c r="F164" i="4" s="1"/>
  <c r="D79" i="4"/>
  <c r="E76" i="4"/>
  <c r="E169" i="4"/>
  <c r="E173" i="4"/>
  <c r="E177" i="4"/>
  <c r="E182" i="4"/>
  <c r="E185" i="4"/>
  <c r="E193" i="4"/>
  <c r="E186" i="4"/>
  <c r="E201" i="4"/>
  <c r="E206" i="4"/>
  <c r="E211" i="4"/>
  <c r="E215" i="4"/>
  <c r="E219" i="4"/>
  <c r="E223" i="4"/>
  <c r="E227" i="4"/>
  <c r="E231" i="4"/>
  <c r="E235" i="4"/>
  <c r="E240" i="4"/>
  <c r="D51" i="4"/>
  <c r="F51" i="4" s="1"/>
  <c r="D55" i="4"/>
  <c r="F55" i="4" s="1"/>
  <c r="D59" i="4"/>
  <c r="F59" i="4" s="1"/>
  <c r="D63" i="4"/>
  <c r="D67" i="4"/>
  <c r="F67" i="4" s="1"/>
  <c r="D71" i="4"/>
  <c r="F71" i="4" s="1"/>
  <c r="D75" i="4"/>
  <c r="F75" i="4" s="1"/>
  <c r="D121" i="4"/>
  <c r="F121" i="4" s="1"/>
  <c r="D129" i="4"/>
  <c r="F129" i="4" s="1"/>
  <c r="D133" i="4"/>
  <c r="F133" i="4" s="1"/>
  <c r="D137" i="4"/>
  <c r="F137" i="4" s="1"/>
  <c r="D141" i="4"/>
  <c r="F141" i="4" s="1"/>
  <c r="D145" i="4"/>
  <c r="F145" i="4" s="1"/>
  <c r="D149" i="4"/>
  <c r="F149" i="4" s="1"/>
  <c r="D153" i="4"/>
  <c r="F153" i="4" s="1"/>
  <c r="D157" i="4"/>
  <c r="F157" i="4" s="1"/>
  <c r="D161" i="4"/>
  <c r="F161" i="4" s="1"/>
  <c r="D166" i="4"/>
  <c r="F166" i="4" s="1"/>
  <c r="D170" i="4"/>
  <c r="F170" i="4" s="1"/>
  <c r="D174" i="4"/>
  <c r="F174" i="4" s="1"/>
  <c r="D178" i="4"/>
  <c r="F178" i="4" s="1"/>
  <c r="D182" i="4"/>
  <c r="F182" i="4" s="1"/>
  <c r="D186" i="4"/>
  <c r="F186" i="4" s="1"/>
  <c r="D193" i="4"/>
  <c r="F193" i="4" s="1"/>
  <c r="D198" i="4"/>
  <c r="F198" i="4" s="1"/>
  <c r="D202" i="4"/>
  <c r="F202" i="4" s="1"/>
  <c r="D208" i="4"/>
  <c r="F208" i="4" s="1"/>
  <c r="D212" i="4"/>
  <c r="F212" i="4" s="1"/>
  <c r="D216" i="4"/>
  <c r="F216" i="4" s="1"/>
  <c r="D220" i="4"/>
  <c r="F220" i="4" s="1"/>
  <c r="D224" i="4"/>
  <c r="F224" i="4" s="1"/>
  <c r="D228" i="4"/>
  <c r="F228" i="4" s="1"/>
  <c r="D232" i="4"/>
  <c r="F232" i="4" s="1"/>
  <c r="D236" i="4"/>
  <c r="F236" i="4" s="1"/>
  <c r="D241" i="4"/>
  <c r="F241" i="4" s="1"/>
  <c r="E165" i="4"/>
  <c r="E66" i="4"/>
  <c r="E168" i="4"/>
  <c r="E172" i="4"/>
  <c r="E176" i="4"/>
  <c r="E181" i="4"/>
  <c r="E184" i="4"/>
  <c r="E191" i="4"/>
  <c r="E197" i="4"/>
  <c r="E200" i="4"/>
  <c r="E204" i="4"/>
  <c r="E210" i="4"/>
  <c r="E213" i="4"/>
  <c r="E218" i="4"/>
  <c r="E222" i="4"/>
  <c r="E226" i="4"/>
  <c r="E230" i="4"/>
  <c r="E234" i="4"/>
  <c r="E238" i="4"/>
  <c r="E243" i="4"/>
  <c r="D54" i="4"/>
  <c r="F54" i="4" s="1"/>
  <c r="D58" i="4"/>
  <c r="F58" i="4" s="1"/>
  <c r="D62" i="4"/>
  <c r="F62" i="4" s="1"/>
  <c r="D66" i="4"/>
  <c r="F66" i="4" s="1"/>
  <c r="D70" i="4"/>
  <c r="F70" i="4" s="1"/>
  <c r="D74" i="4"/>
  <c r="F74" i="4" s="1"/>
  <c r="D78" i="4"/>
  <c r="F78" i="4" s="1"/>
  <c r="D128" i="4"/>
  <c r="F128" i="4" s="1"/>
  <c r="D132" i="4"/>
  <c r="F132" i="4" s="1"/>
  <c r="D136" i="4"/>
  <c r="F136" i="4" s="1"/>
  <c r="D140" i="4"/>
  <c r="F140" i="4" s="1"/>
  <c r="D144" i="4"/>
  <c r="F144" i="4" s="1"/>
  <c r="D148" i="4"/>
  <c r="F148" i="4" s="1"/>
  <c r="D152" i="4"/>
  <c r="F152" i="4" s="1"/>
  <c r="D156" i="4"/>
  <c r="F156" i="4" s="1"/>
  <c r="D160" i="4"/>
  <c r="F160" i="4" s="1"/>
  <c r="D165" i="4"/>
  <c r="F165" i="4" s="1"/>
  <c r="D169" i="4"/>
  <c r="F169" i="4" s="1"/>
  <c r="D173" i="4"/>
  <c r="F173" i="4" s="1"/>
  <c r="D177" i="4"/>
  <c r="F177" i="4" s="1"/>
  <c r="D181" i="4"/>
  <c r="F181" i="4" s="1"/>
  <c r="D185" i="4"/>
  <c r="F185" i="4" s="1"/>
  <c r="D191" i="4"/>
  <c r="F191" i="4" s="1"/>
  <c r="D197" i="4"/>
  <c r="F197" i="4" s="1"/>
  <c r="D201" i="4"/>
  <c r="F201" i="4" s="1"/>
  <c r="D206" i="4"/>
  <c r="F206" i="4" s="1"/>
  <c r="D211" i="4"/>
  <c r="F211" i="4" s="1"/>
  <c r="D215" i="4"/>
  <c r="F215" i="4" s="1"/>
  <c r="D219" i="4"/>
  <c r="F219" i="4" s="1"/>
  <c r="D223" i="4"/>
  <c r="F223" i="4" s="1"/>
  <c r="D227" i="4"/>
  <c r="F227" i="4" s="1"/>
  <c r="D231" i="4"/>
  <c r="F231" i="4" s="1"/>
  <c r="D235" i="4"/>
  <c r="F235" i="4" s="1"/>
  <c r="D240" i="4"/>
  <c r="F240" i="4" s="1"/>
  <c r="D244" i="4"/>
  <c r="F244" i="4" s="1"/>
  <c r="E78" i="4"/>
  <c r="E244" i="4"/>
  <c r="E171" i="4"/>
  <c r="E175" i="4"/>
  <c r="E180" i="4"/>
  <c r="E179" i="4"/>
  <c r="E189" i="4"/>
  <c r="E196" i="4"/>
  <c r="E199" i="4"/>
  <c r="F199" i="4" s="1"/>
  <c r="E203" i="4"/>
  <c r="E209" i="4"/>
  <c r="E212" i="4"/>
  <c r="E217" i="4"/>
  <c r="E221" i="4"/>
  <c r="E225" i="4"/>
  <c r="E229" i="4"/>
  <c r="E233" i="4"/>
  <c r="E237" i="4"/>
  <c r="E242" i="4"/>
  <c r="D53" i="4"/>
  <c r="F53" i="4" s="1"/>
  <c r="D57" i="4"/>
  <c r="F57" i="4" s="1"/>
  <c r="D61" i="4"/>
  <c r="F61" i="4" s="1"/>
  <c r="D65" i="4"/>
  <c r="F65" i="4" s="1"/>
  <c r="D69" i="4"/>
  <c r="F69" i="4" s="1"/>
  <c r="D73" i="4"/>
  <c r="F73" i="4" s="1"/>
  <c r="D77" i="4"/>
  <c r="F77" i="4" s="1"/>
  <c r="D127" i="4"/>
  <c r="F127" i="4" s="1"/>
  <c r="D131" i="4"/>
  <c r="F131" i="4" s="1"/>
  <c r="D135" i="4"/>
  <c r="F135" i="4" s="1"/>
  <c r="D139" i="4"/>
  <c r="F139" i="4" s="1"/>
  <c r="D143" i="4"/>
  <c r="F143" i="4" s="1"/>
  <c r="D147" i="4"/>
  <c r="F147" i="4" s="1"/>
  <c r="D151" i="4"/>
  <c r="F151" i="4" s="1"/>
  <c r="D155" i="4"/>
  <c r="F155" i="4" s="1"/>
  <c r="D159" i="4"/>
  <c r="F159" i="4" s="1"/>
  <c r="D163" i="4"/>
  <c r="F163" i="4" s="1"/>
  <c r="D168" i="4"/>
  <c r="F168" i="4" s="1"/>
  <c r="D172" i="4"/>
  <c r="F172" i="4" s="1"/>
  <c r="D176" i="4"/>
  <c r="F176" i="4" s="1"/>
  <c r="D180" i="4"/>
  <c r="F180" i="4" s="1"/>
  <c r="D184" i="4"/>
  <c r="F184" i="4" s="1"/>
  <c r="D189" i="4"/>
  <c r="F189" i="4" s="1"/>
  <c r="D196" i="4"/>
  <c r="F196" i="4" s="1"/>
  <c r="D200" i="4"/>
  <c r="F200" i="4" s="1"/>
  <c r="D204" i="4"/>
  <c r="F204" i="4" s="1"/>
  <c r="D210" i="4"/>
  <c r="F210" i="4" s="1"/>
  <c r="D214" i="4"/>
  <c r="F214" i="4" s="1"/>
  <c r="D218" i="4"/>
  <c r="F218" i="4" s="1"/>
  <c r="D222" i="4"/>
  <c r="F222" i="4" s="1"/>
  <c r="D226" i="4"/>
  <c r="F226" i="4" s="1"/>
  <c r="D230" i="4"/>
  <c r="F230" i="4" s="1"/>
  <c r="D234" i="4"/>
  <c r="F234" i="4" s="1"/>
  <c r="D238" i="4"/>
  <c r="F238" i="4" s="1"/>
  <c r="D243" i="4"/>
  <c r="F243" i="4" s="1"/>
  <c r="D76" i="1"/>
  <c r="F76" i="1" s="1"/>
  <c r="D66" i="1"/>
  <c r="F66" i="1" s="1"/>
  <c r="D184" i="1"/>
  <c r="F184" i="1" s="1"/>
  <c r="D163" i="1"/>
  <c r="F163" i="1" s="1"/>
  <c r="D171" i="1"/>
  <c r="F171" i="1" s="1"/>
  <c r="D179" i="1"/>
  <c r="F179" i="1" s="1"/>
  <c r="D187" i="1"/>
  <c r="F187" i="1" s="1"/>
  <c r="D195" i="1"/>
  <c r="F195" i="1" s="1"/>
  <c r="D199" i="1"/>
  <c r="F199" i="1" s="1"/>
  <c r="D203" i="1"/>
  <c r="F203" i="1" s="1"/>
  <c r="D209" i="1"/>
  <c r="F209" i="1" s="1"/>
  <c r="D215" i="1"/>
  <c r="F215" i="1" s="1"/>
  <c r="D219" i="1"/>
  <c r="F219" i="1" s="1"/>
  <c r="D223" i="1"/>
  <c r="F223" i="1" s="1"/>
  <c r="D227" i="1"/>
  <c r="F227" i="1" s="1"/>
  <c r="D231" i="1"/>
  <c r="F231" i="1" s="1"/>
  <c r="D235" i="1"/>
  <c r="F235" i="1" s="1"/>
  <c r="D240" i="1"/>
  <c r="F240" i="1" s="1"/>
  <c r="D244" i="1"/>
  <c r="F244" i="1" s="1"/>
  <c r="E168" i="1"/>
  <c r="E176" i="1"/>
  <c r="E180" i="1"/>
  <c r="E184" i="1"/>
  <c r="E196" i="1"/>
  <c r="E201" i="1"/>
  <c r="E211" i="1"/>
  <c r="E219" i="1"/>
  <c r="E223" i="1"/>
  <c r="E227" i="1"/>
  <c r="E233" i="1"/>
  <c r="E237" i="1"/>
  <c r="E243" i="1"/>
  <c r="E240" i="1"/>
  <c r="E216" i="1"/>
  <c r="E189" i="1"/>
  <c r="E169" i="1"/>
  <c r="E213" i="1"/>
  <c r="E165" i="1"/>
  <c r="D159" i="1"/>
  <c r="F159" i="1" s="1"/>
  <c r="D168" i="1"/>
  <c r="F168" i="1" s="1"/>
  <c r="D176" i="1"/>
  <c r="F176" i="1" s="1"/>
  <c r="D186" i="1"/>
  <c r="F186" i="1" s="1"/>
  <c r="D193" i="1"/>
  <c r="F193" i="1" s="1"/>
  <c r="D198" i="1"/>
  <c r="F198" i="1" s="1"/>
  <c r="D202" i="1"/>
  <c r="F202" i="1" s="1"/>
  <c r="D208" i="1"/>
  <c r="F208" i="1" s="1"/>
  <c r="D214" i="1"/>
  <c r="F214" i="1" s="1"/>
  <c r="D218" i="1"/>
  <c r="F218" i="1" s="1"/>
  <c r="D222" i="1"/>
  <c r="F222" i="1" s="1"/>
  <c r="D226" i="1"/>
  <c r="F226" i="1" s="1"/>
  <c r="D230" i="1"/>
  <c r="F230" i="1" s="1"/>
  <c r="D234" i="1"/>
  <c r="F234" i="1" s="1"/>
  <c r="D238" i="1"/>
  <c r="F238" i="1" s="1"/>
  <c r="D243" i="1"/>
  <c r="F243" i="1" s="1"/>
  <c r="E167" i="1"/>
  <c r="E175" i="1"/>
  <c r="E179" i="1"/>
  <c r="E183" i="1"/>
  <c r="E195" i="1"/>
  <c r="E200" i="1"/>
  <c r="E210" i="1"/>
  <c r="E218" i="1"/>
  <c r="E222" i="1"/>
  <c r="E226" i="1"/>
  <c r="E232" i="1"/>
  <c r="E236" i="1"/>
  <c r="E242" i="1"/>
  <c r="E217" i="1"/>
  <c r="E191" i="1"/>
  <c r="E170" i="1"/>
  <c r="E212" i="1"/>
  <c r="D78" i="1"/>
  <c r="F78" i="1" s="1"/>
  <c r="D158" i="1"/>
  <c r="F158" i="1" s="1"/>
  <c r="D167" i="1"/>
  <c r="F167" i="1" s="1"/>
  <c r="D175" i="1"/>
  <c r="F175" i="1" s="1"/>
  <c r="D160" i="1"/>
  <c r="F160" i="1" s="1"/>
  <c r="D191" i="1"/>
  <c r="F191" i="1" s="1"/>
  <c r="D197" i="1"/>
  <c r="F197" i="1" s="1"/>
  <c r="D201" i="1"/>
  <c r="F201" i="1" s="1"/>
  <c r="D206" i="1"/>
  <c r="F206" i="1" s="1"/>
  <c r="D211" i="1"/>
  <c r="F211" i="1" s="1"/>
  <c r="D217" i="1"/>
  <c r="F217" i="1" s="1"/>
  <c r="D221" i="1"/>
  <c r="F221" i="1" s="1"/>
  <c r="D225" i="1"/>
  <c r="F225" i="1" s="1"/>
  <c r="D229" i="1"/>
  <c r="F229" i="1" s="1"/>
  <c r="D233" i="1"/>
  <c r="F233" i="1" s="1"/>
  <c r="D237" i="1"/>
  <c r="F237" i="1" s="1"/>
  <c r="D242" i="1"/>
  <c r="F242" i="1" s="1"/>
  <c r="E174" i="1"/>
  <c r="E178" i="1"/>
  <c r="E182" i="1"/>
  <c r="E186" i="1"/>
  <c r="E199" i="1"/>
  <c r="E203" i="1"/>
  <c r="E209" i="1"/>
  <c r="E214" i="1"/>
  <c r="E221" i="1"/>
  <c r="E225" i="1"/>
  <c r="E229" i="1"/>
  <c r="E235" i="1"/>
  <c r="E241" i="1"/>
  <c r="E173" i="1"/>
  <c r="E230" i="1"/>
  <c r="E193" i="1"/>
  <c r="E171" i="1"/>
  <c r="E121" i="1"/>
  <c r="D213" i="1"/>
  <c r="F213" i="1" s="1"/>
  <c r="D70" i="1"/>
  <c r="F70" i="1" s="1"/>
  <c r="E77" i="1"/>
  <c r="E66" i="1"/>
  <c r="D185" i="1"/>
  <c r="F185" i="1" s="1"/>
  <c r="D164" i="1"/>
  <c r="F164" i="1" s="1"/>
  <c r="D172" i="1"/>
  <c r="F172" i="1" s="1"/>
  <c r="D180" i="1"/>
  <c r="F180" i="1" s="1"/>
  <c r="D189" i="1"/>
  <c r="F189" i="1" s="1"/>
  <c r="D196" i="1"/>
  <c r="F196" i="1" s="1"/>
  <c r="D200" i="1"/>
  <c r="F200" i="1" s="1"/>
  <c r="D204" i="1"/>
  <c r="F204" i="1" s="1"/>
  <c r="D210" i="1"/>
  <c r="F210" i="1" s="1"/>
  <c r="D216" i="1"/>
  <c r="F216" i="1" s="1"/>
  <c r="D220" i="1"/>
  <c r="F220" i="1" s="1"/>
  <c r="D224" i="1"/>
  <c r="F224" i="1" s="1"/>
  <c r="D228" i="1"/>
  <c r="F228" i="1" s="1"/>
  <c r="D232" i="1"/>
  <c r="F232" i="1" s="1"/>
  <c r="D236" i="1"/>
  <c r="F236" i="1" s="1"/>
  <c r="D241" i="1"/>
  <c r="F241" i="1" s="1"/>
  <c r="E172" i="1"/>
  <c r="E177" i="1"/>
  <c r="E181" i="1"/>
  <c r="E185" i="1"/>
  <c r="E197" i="1"/>
  <c r="E202" i="1"/>
  <c r="E208" i="1"/>
  <c r="E198" i="1"/>
  <c r="E220" i="1"/>
  <c r="E224" i="1"/>
  <c r="E228" i="1"/>
  <c r="E234" i="1"/>
  <c r="E238" i="1"/>
  <c r="E231" i="1"/>
  <c r="E215" i="1"/>
  <c r="E187" i="1"/>
  <c r="E122" i="1"/>
  <c r="D212" i="1"/>
  <c r="F212" i="1" s="1"/>
  <c r="E76" i="1"/>
  <c r="E78" i="1"/>
  <c r="D182" i="1"/>
  <c r="F182" i="1" s="1"/>
  <c r="D156" i="1"/>
  <c r="F156" i="1" s="1"/>
  <c r="D161" i="1"/>
  <c r="F161" i="1" s="1"/>
  <c r="D165" i="1"/>
  <c r="F165" i="1" s="1"/>
  <c r="D169" i="1"/>
  <c r="F169" i="1" s="1"/>
  <c r="D173" i="1"/>
  <c r="F173" i="1" s="1"/>
  <c r="D177" i="1"/>
  <c r="F177" i="1" s="1"/>
  <c r="D181" i="1"/>
  <c r="F181" i="1" s="1"/>
  <c r="D77" i="1"/>
  <c r="F77" i="1" s="1"/>
  <c r="D183" i="1"/>
  <c r="F183" i="1" s="1"/>
  <c r="D157" i="1"/>
  <c r="F157" i="1" s="1"/>
  <c r="D162" i="1"/>
  <c r="F162" i="1" s="1"/>
  <c r="D166" i="1"/>
  <c r="F166" i="1" s="1"/>
  <c r="D170" i="1"/>
  <c r="F170" i="1" s="1"/>
  <c r="D174" i="1"/>
  <c r="F174" i="1" s="1"/>
  <c r="D178" i="1"/>
  <c r="F178" i="1" s="1"/>
  <c r="E75" i="4"/>
  <c r="E162" i="4"/>
  <c r="E166" i="4"/>
  <c r="E74" i="4"/>
  <c r="E161" i="4"/>
  <c r="E156" i="4"/>
  <c r="E160" i="4"/>
  <c r="E164" i="4"/>
  <c r="E163" i="4"/>
  <c r="E167" i="4"/>
  <c r="F167" i="4" s="1"/>
  <c r="E74" i="1"/>
  <c r="E75" i="1"/>
  <c r="D75" i="1"/>
  <c r="F75" i="1" s="1"/>
  <c r="D74" i="1"/>
  <c r="F74" i="1" s="1"/>
  <c r="E153" i="1"/>
  <c r="D151" i="1"/>
  <c r="F151" i="1" s="1"/>
  <c r="D155" i="1"/>
  <c r="F155" i="1" s="1"/>
  <c r="E162" i="1"/>
  <c r="E154" i="1"/>
  <c r="D150" i="1"/>
  <c r="F150" i="1" s="1"/>
  <c r="D154" i="1"/>
  <c r="F154" i="1" s="1"/>
  <c r="E161" i="1"/>
  <c r="E166" i="1"/>
  <c r="E155" i="1"/>
  <c r="D51" i="1"/>
  <c r="F51" i="1" s="1"/>
  <c r="D153" i="1"/>
  <c r="F153" i="1" s="1"/>
  <c r="E163" i="1"/>
  <c r="E158" i="1"/>
  <c r="E151" i="1"/>
  <c r="D152" i="1"/>
  <c r="F152" i="1" s="1"/>
  <c r="E156" i="1"/>
  <c r="E164" i="1"/>
  <c r="E52" i="4"/>
  <c r="E60" i="4"/>
  <c r="E130" i="4"/>
  <c r="E134" i="4"/>
  <c r="E138" i="4"/>
  <c r="E141" i="4"/>
  <c r="E145" i="4"/>
  <c r="E149" i="4"/>
  <c r="E154" i="4"/>
  <c r="E55" i="4"/>
  <c r="E59" i="4"/>
  <c r="E70" i="4"/>
  <c r="E129" i="4"/>
  <c r="E133" i="4"/>
  <c r="E137" i="4"/>
  <c r="E140" i="4"/>
  <c r="E144" i="4"/>
  <c r="E148" i="4"/>
  <c r="E153" i="4"/>
  <c r="E53" i="4"/>
  <c r="E57" i="4"/>
  <c r="E61" i="4"/>
  <c r="E65" i="4"/>
  <c r="E68" i="4"/>
  <c r="E72" i="4"/>
  <c r="E127" i="4"/>
  <c r="E131" i="4"/>
  <c r="E135" i="4"/>
  <c r="E142" i="4"/>
  <c r="E146" i="4"/>
  <c r="E51" i="4"/>
  <c r="E151" i="4"/>
  <c r="E155" i="4"/>
  <c r="E56" i="4"/>
  <c r="E64" i="4"/>
  <c r="E71" i="4"/>
  <c r="E150" i="4"/>
  <c r="E63" i="4"/>
  <c r="F63" i="4" s="1"/>
  <c r="E67" i="4"/>
  <c r="E54" i="4"/>
  <c r="E58" i="4"/>
  <c r="E62" i="4"/>
  <c r="E69" i="4"/>
  <c r="E73" i="4"/>
  <c r="E128" i="4"/>
  <c r="E132" i="4"/>
  <c r="E136" i="4"/>
  <c r="E139" i="4"/>
  <c r="E143" i="4"/>
  <c r="E147" i="4"/>
  <c r="D52" i="1"/>
  <c r="F52" i="1" s="1"/>
  <c r="E58" i="1"/>
  <c r="E54" i="1"/>
  <c r="E68" i="1"/>
  <c r="E72" i="1"/>
  <c r="E127" i="1"/>
  <c r="E131" i="1"/>
  <c r="E135" i="1"/>
  <c r="E79" i="1"/>
  <c r="E143" i="1"/>
  <c r="D68" i="1"/>
  <c r="F68" i="1" s="1"/>
  <c r="D72" i="1"/>
  <c r="F72" i="1" s="1"/>
  <c r="D127" i="1"/>
  <c r="F127" i="1" s="1"/>
  <c r="D131" i="1"/>
  <c r="F131" i="1" s="1"/>
  <c r="D135" i="1"/>
  <c r="F135" i="1" s="1"/>
  <c r="D79" i="1"/>
  <c r="F79" i="1" s="1"/>
  <c r="D142" i="1"/>
  <c r="F142" i="1" s="1"/>
  <c r="D146" i="1"/>
  <c r="F146" i="1" s="1"/>
  <c r="E149" i="1"/>
  <c r="E51" i="1"/>
  <c r="E53" i="1"/>
  <c r="E67" i="1"/>
  <c r="E71" i="1"/>
  <c r="E130" i="1"/>
  <c r="E134" i="1"/>
  <c r="E138" i="1"/>
  <c r="E142" i="1"/>
  <c r="E144" i="1"/>
  <c r="D67" i="1"/>
  <c r="F67" i="1" s="1"/>
  <c r="D71" i="1"/>
  <c r="F71" i="1" s="1"/>
  <c r="D122" i="1"/>
  <c r="F122" i="1" s="1"/>
  <c r="D130" i="1"/>
  <c r="F130" i="1" s="1"/>
  <c r="D134" i="1"/>
  <c r="F134" i="1" s="1"/>
  <c r="D138" i="1"/>
  <c r="F138" i="1" s="1"/>
  <c r="D141" i="1"/>
  <c r="F141" i="1" s="1"/>
  <c r="D145" i="1"/>
  <c r="F145" i="1" s="1"/>
  <c r="E145" i="1"/>
  <c r="D149" i="1"/>
  <c r="F149" i="1" s="1"/>
  <c r="E152" i="1"/>
  <c r="D64" i="1"/>
  <c r="F64" i="1" s="1"/>
  <c r="D60" i="1"/>
  <c r="F60" i="1" s="1"/>
  <c r="E65" i="1"/>
  <c r="E70" i="1"/>
  <c r="E129" i="1"/>
  <c r="E133" i="1"/>
  <c r="E137" i="1"/>
  <c r="E141" i="1"/>
  <c r="E146" i="1"/>
  <c r="D121" i="1"/>
  <c r="F121" i="1" s="1"/>
  <c r="D129" i="1"/>
  <c r="F129" i="1" s="1"/>
  <c r="D133" i="1"/>
  <c r="F133" i="1" s="1"/>
  <c r="D137" i="1"/>
  <c r="F137" i="1" s="1"/>
  <c r="D140" i="1"/>
  <c r="F140" i="1" s="1"/>
  <c r="D144" i="1"/>
  <c r="F144" i="1" s="1"/>
  <c r="D148" i="1"/>
  <c r="F148" i="1" s="1"/>
  <c r="E148" i="1"/>
  <c r="D56" i="1"/>
  <c r="F56" i="1" s="1"/>
  <c r="D65" i="1"/>
  <c r="F65" i="1" s="1"/>
  <c r="E69" i="1"/>
  <c r="E73" i="1"/>
  <c r="E128" i="1"/>
  <c r="E132" i="1"/>
  <c r="E136" i="1"/>
  <c r="E139" i="1"/>
  <c r="E140" i="1"/>
  <c r="D69" i="1"/>
  <c r="F69" i="1" s="1"/>
  <c r="D73" i="1"/>
  <c r="F73" i="1" s="1"/>
  <c r="D128" i="1"/>
  <c r="F128" i="1" s="1"/>
  <c r="D132" i="1"/>
  <c r="F132" i="1" s="1"/>
  <c r="D136" i="1"/>
  <c r="F136" i="1" s="1"/>
  <c r="D139" i="1"/>
  <c r="F139" i="1" s="1"/>
  <c r="D143" i="1"/>
  <c r="F143" i="1" s="1"/>
  <c r="D147" i="1"/>
  <c r="F147" i="1" s="1"/>
  <c r="E147" i="1"/>
  <c r="E150" i="1"/>
  <c r="D55" i="1"/>
  <c r="F55" i="1" s="1"/>
  <c r="D59" i="1"/>
  <c r="F59" i="1" s="1"/>
  <c r="D63" i="1"/>
  <c r="F63" i="1" s="1"/>
  <c r="E57" i="1"/>
  <c r="E61" i="1"/>
  <c r="D54" i="1"/>
  <c r="F54" i="1" s="1"/>
  <c r="D58" i="1"/>
  <c r="F58" i="1" s="1"/>
  <c r="D62" i="1"/>
  <c r="F62" i="1" s="1"/>
  <c r="E52" i="1"/>
  <c r="E56" i="1"/>
  <c r="E60" i="1"/>
  <c r="E64" i="1"/>
  <c r="D53" i="1"/>
  <c r="F53" i="1" s="1"/>
  <c r="D57" i="1"/>
  <c r="F57" i="1" s="1"/>
  <c r="D61" i="1"/>
  <c r="F61" i="1" s="1"/>
  <c r="E55" i="1"/>
  <c r="E59" i="1"/>
  <c r="E63" i="1"/>
  <c r="F284" i="1" l="1"/>
  <c r="F285" i="1"/>
  <c r="F290" i="1"/>
  <c r="F296" i="1"/>
  <c r="F297" i="1"/>
  <c r="F312" i="1"/>
  <c r="F322" i="1"/>
  <c r="F324" i="1"/>
  <c r="F287" i="4"/>
  <c r="F286" i="4"/>
  <c r="F283" i="4"/>
  <c r="F302" i="4"/>
  <c r="F303" i="4"/>
  <c r="F314" i="4"/>
  <c r="F318" i="1"/>
  <c r="F288" i="4"/>
  <c r="F301" i="4"/>
  <c r="F311" i="4"/>
  <c r="F291" i="1"/>
  <c r="F292" i="1"/>
  <c r="F282" i="1"/>
  <c r="F294" i="1"/>
  <c r="F300" i="1"/>
  <c r="F298" i="1"/>
  <c r="F301" i="1"/>
  <c r="F320" i="1"/>
  <c r="F319" i="1"/>
  <c r="F325" i="1"/>
  <c r="F305" i="4"/>
  <c r="F310" i="4"/>
  <c r="F316" i="4"/>
  <c r="F319" i="4"/>
  <c r="F327" i="4"/>
  <c r="F275" i="1"/>
  <c r="F307" i="1"/>
  <c r="F313" i="1"/>
  <c r="F317" i="1"/>
  <c r="F304" i="1"/>
  <c r="F323" i="1"/>
  <c r="F285" i="4"/>
  <c r="F282" i="4"/>
  <c r="F284" i="4"/>
  <c r="F309" i="4"/>
  <c r="F298" i="4"/>
  <c r="F299" i="4"/>
  <c r="F315" i="4"/>
  <c r="F318" i="4"/>
  <c r="F321" i="4"/>
</calcChain>
</file>

<file path=xl/sharedStrings.xml><?xml version="1.0" encoding="utf-8"?>
<sst xmlns="http://schemas.openxmlformats.org/spreadsheetml/2006/main" count="204" uniqueCount="154">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</sst>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5"/>
  <sheetViews>
    <sheetView topLeftCell="A334" workbookViewId="0">
      <selection activeCell="F351" sqref="F351"/>
    </sheetView>
  </sheetViews>
  <sheetFormatPr defaultRowHeight="15" x14ac:dyDescent="0.25"/>
  <cols>
    <col min="1" max="1" width="8.85546875" customWidth="1"/>
    <col min="2" max="2" width="11.140625" style="2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 x14ac:dyDescent="0.25">
      <c r="A1">
        <v>1001</v>
      </c>
      <c r="B1" s="2">
        <v>1</v>
      </c>
      <c r="C1" t="str">
        <f>"'" &amp; A1 &amp; "'"</f>
        <v>'1001'</v>
      </c>
      <c r="D1" t="s">
        <v>0</v>
      </c>
      <c r="E1" t="s">
        <v>1</v>
      </c>
      <c r="F1" t="str">
        <f>"insert into sysLocalizationText Values(" &amp;A1 &amp; "," &amp;C1 &amp; "," &amp; D1 &amp; "," &amp; E1 &amp; ",getdate(),getdate()," &amp; B1 &amp; ")"</f>
        <v>insert into sysLocalizationText Values(1001,'1001',     'Execution-Error',    'Execution error',getdate(),getdate(),1)</v>
      </c>
      <c r="N1" t="str">
        <f>"'"</f>
        <v>'</v>
      </c>
    </row>
    <row r="2" spans="1:14" x14ac:dyDescent="0.25">
      <c r="A2">
        <v>1002</v>
      </c>
      <c r="B2" s="2">
        <v>1</v>
      </c>
      <c r="C2" t="str">
        <f t="shared" ref="C2:C65" si="0">"'" &amp; A2 &amp; "'"</f>
        <v>'1002'</v>
      </c>
      <c r="D2" t="s">
        <v>2</v>
      </c>
      <c r="E2" t="s">
        <v>3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Values(1002,'1002',     'Validation-Error',    'Data validation error.',getdate(),getdate(),1)</v>
      </c>
    </row>
    <row r="3" spans="1:14" x14ac:dyDescent="0.25">
      <c r="A3">
        <v>1003</v>
      </c>
      <c r="B3" s="2">
        <v>1</v>
      </c>
      <c r="C3" t="str">
        <f t="shared" si="0"/>
        <v>'1003'</v>
      </c>
      <c r="D3" t="s">
        <v>4</v>
      </c>
      <c r="E3" t="s">
        <v>5</v>
      </c>
      <c r="F3" t="str">
        <f t="shared" si="1"/>
        <v>insert into sysLocalizationText Values(1003,'1003',     'Record-NotFound',    'The requested record was not found.',getdate(),getdate(),1)</v>
      </c>
    </row>
    <row r="4" spans="1:14" x14ac:dyDescent="0.25">
      <c r="A4">
        <v>1004</v>
      </c>
      <c r="B4" s="2">
        <v>1</v>
      </c>
      <c r="C4" t="str">
        <f t="shared" si="0"/>
        <v>'1004'</v>
      </c>
      <c r="D4" t="s">
        <v>6</v>
      </c>
      <c r="E4" t="s">
        <v>7</v>
      </c>
      <c r="F4" t="str">
        <f t="shared" si="1"/>
        <v>insert into sysLocalizationText Values(1004,'1004',     'Login-Invalid-Password',    'Invalid password. You still have 0 attempts before the account is deactivated.',getdate(),getdate(),1)</v>
      </c>
    </row>
    <row r="5" spans="1:14" x14ac:dyDescent="0.25">
      <c r="A5">
        <v>1005</v>
      </c>
      <c r="B5" s="2">
        <v>1</v>
      </c>
      <c r="C5" t="str">
        <f t="shared" si="0"/>
        <v>'1005'</v>
      </c>
      <c r="D5" t="s">
        <v>8</v>
      </c>
      <c r="E5" t="s">
        <v>9</v>
      </c>
      <c r="F5" t="str">
        <f t="shared" si="1"/>
        <v>insert into sysLocalizationText Values(1005,'1005',     'Login-Attempts',    'You have already used access attempts and the account has been disabled. Request activation.',getdate(),getdate(),1)</v>
      </c>
    </row>
    <row r="6" spans="1:14" x14ac:dyDescent="0.25">
      <c r="A6">
        <v>1006</v>
      </c>
      <c r="B6" s="2">
        <v>1</v>
      </c>
      <c r="C6" t="str">
        <f t="shared" si="0"/>
        <v>'1006'</v>
      </c>
      <c r="D6" t="s">
        <v>10</v>
      </c>
      <c r="E6" t="s">
        <v>11</v>
      </c>
      <c r="F6" t="str">
        <f t="shared" si="1"/>
        <v>insert into sysLocalizationText Values(1006,'1006',     'Login-Inactive-Account',    'The account associated with the User is not active. Request account activation.',getdate(),getdate(),1)</v>
      </c>
    </row>
    <row r="7" spans="1:14" x14ac:dyDescent="0.25">
      <c r="A7">
        <v>1007</v>
      </c>
      <c r="B7" s="2">
        <v>1</v>
      </c>
      <c r="C7" t="str">
        <f t="shared" si="0"/>
        <v>'1007'</v>
      </c>
      <c r="D7" t="s">
        <v>12</v>
      </c>
      <c r="E7" t="s">
        <v>13</v>
      </c>
      <c r="F7" t="str">
        <f t="shared" si="1"/>
        <v>insert into sysLocalizationText Values(1007,'1007',     'Login-Locked-Account',    'The account associated with the User is locked out. Contact your system administrator.',getdate(),getdate(),1)</v>
      </c>
    </row>
    <row r="8" spans="1:14" x14ac:dyDescent="0.25">
      <c r="A8">
        <v>1008</v>
      </c>
      <c r="B8" s="2">
        <v>1</v>
      </c>
      <c r="C8" t="str">
        <f t="shared" si="0"/>
        <v>'1008'</v>
      </c>
      <c r="D8" t="s">
        <v>14</v>
      </c>
      <c r="E8" t="s">
        <v>15</v>
      </c>
      <c r="F8" t="str">
        <f t="shared" si="1"/>
        <v>insert into sysLocalizationText Values(1008,'1008',     'Login-User-NotFound',    'User not found.',getdate(),getdate(),1)</v>
      </c>
    </row>
    <row r="9" spans="1:14" x14ac:dyDescent="0.25">
      <c r="A9">
        <v>1009</v>
      </c>
      <c r="B9" s="2">
        <v>1</v>
      </c>
      <c r="C9" t="str">
        <f t="shared" si="0"/>
        <v>'1009'</v>
      </c>
      <c r="D9" t="s">
        <v>16</v>
      </c>
      <c r="E9" t="s">
        <v>17</v>
      </c>
      <c r="F9" t="str">
        <f t="shared" si="1"/>
        <v>insert into sysLocalizationText Values(1009,'1009',     'User-Exists',    'There is already a user with the email',getdate(),getdate(),1)</v>
      </c>
    </row>
    <row r="10" spans="1:14" x14ac:dyDescent="0.25">
      <c r="A10">
        <v>1010</v>
      </c>
      <c r="B10" s="2">
        <v>1</v>
      </c>
      <c r="C10" t="str">
        <f t="shared" si="0"/>
        <v>'1010'</v>
      </c>
      <c r="D10" t="s">
        <v>18</v>
      </c>
      <c r="E10" t="s">
        <v>19</v>
      </c>
      <c r="F10" t="str">
        <f t="shared" si="1"/>
        <v>insert into sysLocalizationText Values(1010,'1010',     'Email-Exists',    'The email you entered already exists.',getdate(),getdate(),1)</v>
      </c>
    </row>
    <row r="11" spans="1:14" x14ac:dyDescent="0.25">
      <c r="A11">
        <v>1011</v>
      </c>
      <c r="B11" s="2">
        <v>1</v>
      </c>
      <c r="C11" t="str">
        <f t="shared" si="0"/>
        <v>'1011'</v>
      </c>
      <c r="D11" t="s">
        <v>20</v>
      </c>
      <c r="E11" t="s">
        <v>21</v>
      </c>
      <c r="F11" t="str">
        <f t="shared" si="1"/>
        <v>insert into sysLocalizationText Values(1011,'1011',     'Profile-NotBe-Null',    'The Profile cannot be null.',getdate(),getdate(),1)</v>
      </c>
    </row>
    <row r="12" spans="1:14" x14ac:dyDescent="0.25">
      <c r="A12">
        <v>1012</v>
      </c>
      <c r="B12" s="2">
        <v>1</v>
      </c>
      <c r="C12" t="str">
        <f t="shared" si="0"/>
        <v>'1012'</v>
      </c>
      <c r="D12" t="s">
        <v>22</v>
      </c>
      <c r="E12" t="s">
        <v>23</v>
      </c>
      <c r="F12" t="str">
        <f t="shared" si="1"/>
        <v>insert into sysLocalizationText Values(1012,'1012',     'User-Error-Exclude-Childs',    'There was an error deleting child items (Roles).',getdate(),getdate(),1)</v>
      </c>
    </row>
    <row r="13" spans="1:14" x14ac:dyDescent="0.25">
      <c r="A13">
        <v>1013</v>
      </c>
      <c r="B13" s="2">
        <v>1</v>
      </c>
      <c r="C13" t="str">
        <f t="shared" si="0"/>
        <v>'1013'</v>
      </c>
      <c r="D13" t="s">
        <v>24</v>
      </c>
      <c r="E13" t="s">
        <v>25</v>
      </c>
      <c r="F13" t="str">
        <f t="shared" si="1"/>
        <v>insert into sysLocalizationText Values(1013,'1013',     'User-Invalid-Password-Code',    'The password exchange authorization code is invalid.',getdate(),getdate(),1)</v>
      </c>
    </row>
    <row r="14" spans="1:14" x14ac:dyDescent="0.25">
      <c r="A14">
        <v>1014</v>
      </c>
      <c r="B14" s="2">
        <v>1</v>
      </c>
      <c r="C14" t="str">
        <f t="shared" si="0"/>
        <v>'1014'</v>
      </c>
      <c r="D14" t="s">
        <v>26</v>
      </c>
      <c r="E14" t="s">
        <v>27</v>
      </c>
      <c r="F14" t="str">
        <f t="shared" si="1"/>
        <v>insert into sysLocalizationText Values(1014,'1014',     'Account-Active',    'The account associated with the User is already active.',getdate(),getdate(),1)</v>
      </c>
    </row>
    <row r="15" spans="1:14" x14ac:dyDescent="0.25">
      <c r="A15">
        <v>1015</v>
      </c>
      <c r="B15" s="2">
        <v>1</v>
      </c>
      <c r="C15" t="str">
        <f t="shared" si="0"/>
        <v>'1015'</v>
      </c>
      <c r="D15" t="s">
        <v>28</v>
      </c>
      <c r="E15" t="s">
        <v>29</v>
      </c>
      <c r="F15" t="str">
        <f t="shared" si="1"/>
        <v>insert into sysLocalizationText Values(1015,'1015',     'User-Invalid-Activation-Code',    'The activation authorization code is invalid.',getdate(),getdate(),1)</v>
      </c>
    </row>
    <row r="16" spans="1:14" x14ac:dyDescent="0.25">
      <c r="A16">
        <v>1016</v>
      </c>
      <c r="B16" s="2">
        <v>1</v>
      </c>
      <c r="C16" t="str">
        <f t="shared" si="0"/>
        <v>'1016'</v>
      </c>
      <c r="D16" t="s">
        <v>30</v>
      </c>
      <c r="E16" t="s">
        <v>31</v>
      </c>
      <c r="F16" t="str">
        <f t="shared" si="1"/>
        <v>insert into sysLocalizationText Values(1016,'1016',     'User-No-Image',    'Send the image file.',getdate(),getdate(),1)</v>
      </c>
    </row>
    <row r="17" spans="1:6" x14ac:dyDescent="0.25">
      <c r="A17">
        <v>1017</v>
      </c>
      <c r="B17" s="2">
        <v>1</v>
      </c>
      <c r="C17" t="str">
        <f t="shared" si="0"/>
        <v>'1017'</v>
      </c>
      <c r="D17" t="s">
        <v>32</v>
      </c>
      <c r="E17" t="s">
        <v>33</v>
      </c>
      <c r="F17" t="str">
        <f t="shared" si="1"/>
        <v>insert into sysLocalizationText Values(1017,'1017',     'User-Role-Exists',    'This Role is already associated with the user.',getdate(),getdate(),1)</v>
      </c>
    </row>
    <row r="18" spans="1:6" x14ac:dyDescent="0.25">
      <c r="A18">
        <v>1018</v>
      </c>
      <c r="B18" s="2">
        <v>1</v>
      </c>
      <c r="C18" t="str">
        <f t="shared" si="0"/>
        <v>'1018'</v>
      </c>
      <c r="D18" t="s">
        <v>34</v>
      </c>
      <c r="E18" t="s">
        <v>35</v>
      </c>
      <c r="F18" t="str">
        <f t="shared" si="1"/>
        <v>insert into sysLocalizationText Values(1018,'1018',     'User-Role-No-Exists',    'This Role does not belong to the user.',getdate(),getdate(),1)</v>
      </c>
    </row>
    <row r="19" spans="1:6" x14ac:dyDescent="0.25">
      <c r="A19">
        <v>1019</v>
      </c>
      <c r="B19" s="2">
        <v>1</v>
      </c>
      <c r="C19" t="str">
        <f t="shared" si="0"/>
        <v>'1019'</v>
      </c>
      <c r="D19" t="s">
        <v>36</v>
      </c>
      <c r="E19" t="s">
        <v>37</v>
      </c>
      <c r="F19" t="str">
        <f t="shared" si="1"/>
        <v>insert into sysLocalizationText Values(1019,'1019',     'Http-Unauthorized',    'Unauthorized access',getdate(),getdate(),1)</v>
      </c>
    </row>
    <row r="20" spans="1:6" x14ac:dyDescent="0.25">
      <c r="A20">
        <v>1020</v>
      </c>
      <c r="B20" s="2">
        <v>1</v>
      </c>
      <c r="C20" t="str">
        <f t="shared" si="0"/>
        <v>'1020'</v>
      </c>
      <c r="D20" t="s">
        <v>38</v>
      </c>
      <c r="E20" t="s">
        <v>39</v>
      </c>
      <c r="F20" t="str">
        <f t="shared" si="1"/>
        <v>insert into sysLocalizationText Values(1020,'1020',     'Http-NotFound',    'The resource could not be found',getdate(),getdate(),1)</v>
      </c>
    </row>
    <row r="21" spans="1:6" x14ac:dyDescent="0.25">
      <c r="A21">
        <v>1021</v>
      </c>
      <c r="B21" s="2">
        <v>1</v>
      </c>
      <c r="C21" t="str">
        <f t="shared" si="0"/>
        <v>'1021'</v>
      </c>
      <c r="D21" t="s">
        <v>40</v>
      </c>
      <c r="E21" t="s">
        <v>41</v>
      </c>
      <c r="F21" t="str">
        <f t="shared" si="1"/>
        <v>insert into sysLocalizationText Values(1021,'1021',     'Http-Forbidden',    'User profile without access permission.',getdate(),getdate(),1)</v>
      </c>
    </row>
    <row r="22" spans="1:6" x14ac:dyDescent="0.25">
      <c r="A22">
        <v>1022</v>
      </c>
      <c r="B22" s="2">
        <v>1</v>
      </c>
      <c r="C22" t="str">
        <f t="shared" si="0"/>
        <v>'1022'</v>
      </c>
      <c r="D22" t="s">
        <v>42</v>
      </c>
      <c r="E22" t="s">
        <v>43</v>
      </c>
      <c r="F22" t="str">
        <f t="shared" si="1"/>
        <v>insert into sysLocalizationText Values(1022,'1022',     'Http-500Error',    'An error occurred in the processing of the request.',getdate(),getdate(),1)</v>
      </c>
    </row>
    <row r="23" spans="1:6" x14ac:dyDescent="0.25">
      <c r="A23">
        <v>1023</v>
      </c>
      <c r="B23" s="2">
        <v>1</v>
      </c>
      <c r="C23" t="str">
        <f t="shared" si="0"/>
        <v>'1023'</v>
      </c>
      <c r="D23" t="s">
        <v>44</v>
      </c>
      <c r="E23" t="s">
        <v>45</v>
      </c>
      <c r="F23" t="str">
        <f t="shared" si="1"/>
        <v>insert into sysLocalizationText Values(1023,'1023',     'Http-ServiceUnavailable',    'The requested service is unavailable.',getdate(),getdate(),1)</v>
      </c>
    </row>
    <row r="24" spans="1:6" x14ac:dyDescent="0.25">
      <c r="A24">
        <v>1024</v>
      </c>
      <c r="B24" s="2">
        <v>1</v>
      </c>
      <c r="C24" t="str">
        <f t="shared" si="0"/>
        <v>'1024'</v>
      </c>
      <c r="D24" t="s">
        <v>46</v>
      </c>
      <c r="E24" t="s">
        <v>47</v>
      </c>
      <c r="F24" t="str">
        <f t="shared" si="1"/>
        <v>insert into sysLocalizationText Values(1024,'1024',     'API-Unexpected-Exception',    'Unexpected error not identified GetInnerExceptions@f2]',getdate(),getdate(),1)</v>
      </c>
    </row>
    <row r="25" spans="1:6" x14ac:dyDescent="0.25">
      <c r="A25">
        <v>1025</v>
      </c>
      <c r="B25" s="2">
        <v>1</v>
      </c>
      <c r="C25" t="str">
        <f t="shared" si="0"/>
        <v>'1025'</v>
      </c>
      <c r="D25" t="s">
        <v>48</v>
      </c>
      <c r="E25" t="s">
        <v>49</v>
      </c>
      <c r="F25" t="str">
        <f t="shared" si="1"/>
        <v>insert into sysLocalizationText Values(1025,'1025',     'ShortDayName-1',    'Sun',getdate(),getdate(),1)</v>
      </c>
    </row>
    <row r="26" spans="1:6" x14ac:dyDescent="0.25">
      <c r="A26">
        <v>1026</v>
      </c>
      <c r="B26" s="2">
        <v>1</v>
      </c>
      <c r="C26" t="str">
        <f t="shared" si="0"/>
        <v>'1026'</v>
      </c>
      <c r="D26" t="s">
        <v>50</v>
      </c>
      <c r="E26" t="s">
        <v>51</v>
      </c>
      <c r="F26" t="str">
        <f t="shared" si="1"/>
        <v>insert into sysLocalizationText Values(1026,'1026',     'ShortDayName-2',    'Mon',getdate(),getdate(),1)</v>
      </c>
    </row>
    <row r="27" spans="1:6" x14ac:dyDescent="0.25">
      <c r="A27">
        <v>1027</v>
      </c>
      <c r="B27" s="2">
        <v>1</v>
      </c>
      <c r="C27" t="str">
        <f t="shared" si="0"/>
        <v>'1027'</v>
      </c>
      <c r="D27" t="s">
        <v>52</v>
      </c>
      <c r="E27" t="s">
        <v>53</v>
      </c>
      <c r="F27" t="str">
        <f t="shared" si="1"/>
        <v>insert into sysLocalizationText Values(1027,'1027',     'ShortDayName-3',    'Tue',getdate(),getdate(),1)</v>
      </c>
    </row>
    <row r="28" spans="1:6" x14ac:dyDescent="0.25">
      <c r="A28">
        <v>1028</v>
      </c>
      <c r="B28" s="2">
        <v>1</v>
      </c>
      <c r="C28" t="str">
        <f t="shared" si="0"/>
        <v>'1028'</v>
      </c>
      <c r="D28" t="s">
        <v>54</v>
      </c>
      <c r="E28" t="s">
        <v>55</v>
      </c>
      <c r="F28" t="str">
        <f t="shared" si="1"/>
        <v>insert into sysLocalizationText Values(1028,'1028',     'ShortDayName-4',    'Wed',getdate(),getdate(),1)</v>
      </c>
    </row>
    <row r="29" spans="1:6" x14ac:dyDescent="0.25">
      <c r="A29">
        <v>1029</v>
      </c>
      <c r="B29" s="2">
        <v>1</v>
      </c>
      <c r="C29" t="str">
        <f t="shared" si="0"/>
        <v>'1029'</v>
      </c>
      <c r="D29" t="s">
        <v>56</v>
      </c>
      <c r="E29" t="s">
        <v>57</v>
      </c>
      <c r="F29" t="str">
        <f t="shared" si="1"/>
        <v>insert into sysLocalizationText Values(1029,'1029',     'ShortDayName-5',    'Thu',getdate(),getdate(),1)</v>
      </c>
    </row>
    <row r="30" spans="1:6" x14ac:dyDescent="0.25">
      <c r="A30">
        <v>1030</v>
      </c>
      <c r="B30" s="2">
        <v>1</v>
      </c>
      <c r="C30" t="str">
        <f t="shared" si="0"/>
        <v>'1030'</v>
      </c>
      <c r="D30" t="s">
        <v>58</v>
      </c>
      <c r="E30" t="s">
        <v>59</v>
      </c>
      <c r="F30" t="str">
        <f t="shared" si="1"/>
        <v>insert into sysLocalizationText Values(1030,'1030',     'ShortDayName-6',    'Fri',getdate(),getdate(),1)</v>
      </c>
    </row>
    <row r="31" spans="1:6" x14ac:dyDescent="0.25">
      <c r="A31">
        <v>1031</v>
      </c>
      <c r="B31" s="2">
        <v>1</v>
      </c>
      <c r="C31" t="str">
        <f t="shared" si="0"/>
        <v>'1031'</v>
      </c>
      <c r="D31" t="s">
        <v>60</v>
      </c>
      <c r="E31" t="s">
        <v>61</v>
      </c>
      <c r="F31" t="str">
        <f t="shared" si="1"/>
        <v>insert into sysLocalizationText Values(1031,'1031',     'ShortDayName-7',    'Sat'  ,getdate(),getdate(),1)</v>
      </c>
    </row>
    <row r="32" spans="1:6" x14ac:dyDescent="0.25">
      <c r="A32">
        <v>1032</v>
      </c>
      <c r="B32" s="2">
        <v>1</v>
      </c>
      <c r="C32" t="str">
        <f t="shared" si="0"/>
        <v>'1032'</v>
      </c>
      <c r="D32" t="s">
        <v>62</v>
      </c>
      <c r="E32" t="s">
        <v>63</v>
      </c>
      <c r="F32" t="str">
        <f t="shared" si="1"/>
        <v>insert into sysLocalizationText Values(1032,'1032',     'MonthName-1',    'JANUARY',getdate(),getdate(),1)</v>
      </c>
    </row>
    <row r="33" spans="1:6" x14ac:dyDescent="0.25">
      <c r="A33">
        <v>1033</v>
      </c>
      <c r="B33" s="2">
        <v>1</v>
      </c>
      <c r="C33" t="str">
        <f t="shared" si="0"/>
        <v>'1033'</v>
      </c>
      <c r="D33" t="s">
        <v>64</v>
      </c>
      <c r="E33" t="s">
        <v>65</v>
      </c>
      <c r="F33" t="str">
        <f t="shared" si="1"/>
        <v>insert into sysLocalizationText Values(1033,'1033',     'MonthName-2',    'FEBRUARY',getdate(),getdate(),1)</v>
      </c>
    </row>
    <row r="34" spans="1:6" x14ac:dyDescent="0.25">
      <c r="A34">
        <v>1034</v>
      </c>
      <c r="B34" s="2">
        <v>1</v>
      </c>
      <c r="C34" t="str">
        <f t="shared" si="0"/>
        <v>'1034'</v>
      </c>
      <c r="D34" t="s">
        <v>66</v>
      </c>
      <c r="E34" t="s">
        <v>67</v>
      </c>
      <c r="F34" t="str">
        <f t="shared" si="1"/>
        <v>insert into sysLocalizationText Values(1034,'1034',     'MonthName-3',    'MARCH',getdate(),getdate(),1)</v>
      </c>
    </row>
    <row r="35" spans="1:6" x14ac:dyDescent="0.25">
      <c r="A35">
        <v>1035</v>
      </c>
      <c r="B35" s="2">
        <v>1</v>
      </c>
      <c r="C35" t="str">
        <f t="shared" si="0"/>
        <v>'1035'</v>
      </c>
      <c r="D35" t="s">
        <v>68</v>
      </c>
      <c r="E35" t="s">
        <v>69</v>
      </c>
      <c r="F35" t="str">
        <f t="shared" si="1"/>
        <v>insert into sysLocalizationText Values(1035,'1035',     'MonthName-4',    'APRIL',getdate(),getdate(),1)</v>
      </c>
    </row>
    <row r="36" spans="1:6" x14ac:dyDescent="0.25">
      <c r="A36">
        <v>1036</v>
      </c>
      <c r="B36" s="2">
        <v>1</v>
      </c>
      <c r="C36" t="str">
        <f t="shared" si="0"/>
        <v>'1036'</v>
      </c>
      <c r="D36" t="s">
        <v>70</v>
      </c>
      <c r="E36" t="s">
        <v>71</v>
      </c>
      <c r="F36" t="str">
        <f t="shared" si="1"/>
        <v>insert into sysLocalizationText Values(1036,'1036',     'MonthName-5',    'MAY',getdate(),getdate(),1)</v>
      </c>
    </row>
    <row r="37" spans="1:6" x14ac:dyDescent="0.25">
      <c r="A37">
        <v>1037</v>
      </c>
      <c r="B37" s="2">
        <v>1</v>
      </c>
      <c r="C37" t="str">
        <f t="shared" si="0"/>
        <v>'1037'</v>
      </c>
      <c r="D37" t="s">
        <v>72</v>
      </c>
      <c r="E37" t="s">
        <v>73</v>
      </c>
      <c r="F37" t="str">
        <f t="shared" si="1"/>
        <v>insert into sysLocalizationText Values(1037,'1037',     'MonthName-6',    'JUNE',getdate(),getdate(),1)</v>
      </c>
    </row>
    <row r="38" spans="1:6" x14ac:dyDescent="0.25">
      <c r="A38">
        <v>1038</v>
      </c>
      <c r="B38" s="2">
        <v>1</v>
      </c>
      <c r="C38" t="str">
        <f t="shared" si="0"/>
        <v>'1038'</v>
      </c>
      <c r="D38" t="s">
        <v>74</v>
      </c>
      <c r="E38" t="s">
        <v>75</v>
      </c>
      <c r="F38" t="str">
        <f t="shared" si="1"/>
        <v>insert into sysLocalizationText Values(1038,'1038',     'MonthName-7',    'JULY',getdate(),getdate(),1)</v>
      </c>
    </row>
    <row r="39" spans="1:6" x14ac:dyDescent="0.25">
      <c r="A39">
        <v>1039</v>
      </c>
      <c r="B39" s="2">
        <v>1</v>
      </c>
      <c r="C39" t="str">
        <f t="shared" si="0"/>
        <v>'1039'</v>
      </c>
      <c r="D39" t="s">
        <v>76</v>
      </c>
      <c r="E39" t="s">
        <v>77</v>
      </c>
      <c r="F39" t="str">
        <f t="shared" si="1"/>
        <v>insert into sysLocalizationText Values(1039,'1039',     'MonthName-8',    'AUGUST',getdate(),getdate(),1)</v>
      </c>
    </row>
    <row r="40" spans="1:6" x14ac:dyDescent="0.25">
      <c r="A40">
        <v>1040</v>
      </c>
      <c r="B40" s="2">
        <v>1</v>
      </c>
      <c r="C40" t="str">
        <f t="shared" si="0"/>
        <v>'1040'</v>
      </c>
      <c r="D40" t="s">
        <v>78</v>
      </c>
      <c r="E40" t="s">
        <v>79</v>
      </c>
      <c r="F40" t="str">
        <f t="shared" si="1"/>
        <v>insert into sysLocalizationText Values(1040,'1040',     'MonthName-9',    'SEPTEMBER',getdate(),getdate(),1)</v>
      </c>
    </row>
    <row r="41" spans="1:6" x14ac:dyDescent="0.25">
      <c r="A41">
        <v>1041</v>
      </c>
      <c r="B41" s="2">
        <v>1</v>
      </c>
      <c r="C41" t="str">
        <f t="shared" si="0"/>
        <v>'1041'</v>
      </c>
      <c r="D41" t="s">
        <v>80</v>
      </c>
      <c r="E41" t="s">
        <v>81</v>
      </c>
      <c r="F41" t="str">
        <f t="shared" si="1"/>
        <v>insert into sysLocalizationText Values(1041,'1041',     'MonthName-10',    'OCTOBER',getdate(),getdate(),1)</v>
      </c>
    </row>
    <row r="42" spans="1:6" x14ac:dyDescent="0.25">
      <c r="A42">
        <v>1042</v>
      </c>
      <c r="B42" s="2">
        <v>1</v>
      </c>
      <c r="C42" t="str">
        <f t="shared" si="0"/>
        <v>'1042'</v>
      </c>
      <c r="D42" t="s">
        <v>82</v>
      </c>
      <c r="E42" t="s">
        <v>83</v>
      </c>
      <c r="F42" t="str">
        <f t="shared" si="1"/>
        <v>insert into sysLocalizationText Values(1042,'1042',     'MonthName-11',    'NOVEMBER',getdate(),getdate(),1)</v>
      </c>
    </row>
    <row r="43" spans="1:6" x14ac:dyDescent="0.25">
      <c r="A43">
        <v>1043</v>
      </c>
      <c r="B43" s="2">
        <v>1</v>
      </c>
      <c r="C43" t="str">
        <f t="shared" si="0"/>
        <v>'1043'</v>
      </c>
      <c r="D43" t="s">
        <v>84</v>
      </c>
      <c r="E43" t="s">
        <v>85</v>
      </c>
      <c r="F43" t="str">
        <f t="shared" si="1"/>
        <v>insert into sysLocalizationText Values(1043,'1043',     'MonthName-12',    'DECEMBER',getdate(),getdate(),1)</v>
      </c>
    </row>
    <row r="44" spans="1:6" x14ac:dyDescent="0.25">
      <c r="A44">
        <v>1044</v>
      </c>
      <c r="B44" s="2">
        <v>1</v>
      </c>
      <c r="C44" t="str">
        <f t="shared" si="0"/>
        <v>'1044'</v>
      </c>
      <c r="D44" t="s">
        <v>86</v>
      </c>
      <c r="E44" t="s">
        <v>87</v>
      </c>
      <c r="F44" t="str">
        <f t="shared" si="1"/>
        <v>insert into sysLocalizationText Values(1044,'1044',     'Validation-NotNull',    'cannot be null.',getdate(),getdate(),1)</v>
      </c>
    </row>
    <row r="45" spans="1:6" x14ac:dyDescent="0.25">
      <c r="A45">
        <v>1045</v>
      </c>
      <c r="B45" s="2">
        <v>1</v>
      </c>
      <c r="C45" t="str">
        <f t="shared" si="0"/>
        <v>'1045'</v>
      </c>
      <c r="D45" t="s">
        <v>88</v>
      </c>
      <c r="E45" t="s">
        <v>145</v>
      </c>
      <c r="F45" t="str">
        <f t="shared" si="1"/>
        <v>insert into sysLocalizationText Values(1045,'1045',     'Validation-Max-Characters',    'The {0} field cannot have more than 1 characters.',getdate(),getdate(),1)</v>
      </c>
    </row>
    <row r="46" spans="1:6" x14ac:dyDescent="0.25">
      <c r="A46">
        <v>1046</v>
      </c>
      <c r="B46" s="2">
        <v>1</v>
      </c>
      <c r="C46" t="str">
        <f t="shared" si="0"/>
        <v>'1046'</v>
      </c>
      <c r="D46" t="s">
        <v>89</v>
      </c>
      <c r="E46" t="s">
        <v>146</v>
      </c>
      <c r="F46" t="str">
        <f t="shared" si="1"/>
        <v>insert into sysLocalizationText Values(1046,'1046',     'Validation-Invalid-Field',    'The {0} field is invalid.',getdate(),getdate(),1)</v>
      </c>
    </row>
    <row r="47" spans="1:6" x14ac:dyDescent="0.25">
      <c r="A47">
        <v>1047</v>
      </c>
      <c r="B47" s="2">
        <v>1</v>
      </c>
      <c r="C47" t="str">
        <f t="shared" si="0"/>
        <v>'1047'</v>
      </c>
      <c r="D47" t="s">
        <v>90</v>
      </c>
      <c r="E47" t="s">
        <v>147</v>
      </c>
      <c r="F47" t="str">
        <f t="shared" si="1"/>
        <v>insert into sysLocalizationText Values(1047,'1047',     'Validation-Invalid-UserName',    'The {0} field is invalid. Do not use special characters or spaces.',getdate(),getdate(),1)</v>
      </c>
    </row>
    <row r="48" spans="1:6" x14ac:dyDescent="0.25">
      <c r="A48">
        <v>1048</v>
      </c>
      <c r="B48" s="2">
        <v>1</v>
      </c>
      <c r="C48" t="str">
        <f t="shared" si="0"/>
        <v>'1048'</v>
      </c>
      <c r="D48" t="s">
        <v>91</v>
      </c>
      <c r="E48" t="s">
        <v>148</v>
      </c>
      <c r="F48" t="str">
        <f t="shared" si="1"/>
        <v>insert into sysLocalizationText Values(1048,'1048',     'Validation-Unique-Value',    'The {0} field is invalid. Value must be unique.',getdate(),getdate(),1)</v>
      </c>
    </row>
    <row r="49" spans="1:6" x14ac:dyDescent="0.25">
      <c r="A49">
        <v>1049</v>
      </c>
      <c r="B49" s="2">
        <v>1</v>
      </c>
      <c r="C49" t="str">
        <f t="shared" si="0"/>
        <v>'1049'</v>
      </c>
      <c r="D49" t="s">
        <v>92</v>
      </c>
      <c r="E49" t="s">
        <v>93</v>
      </c>
      <c r="F49" t="str">
        <f t="shared" si="1"/>
        <v>insert into sysLocalizationText Values(1049,'1049',     'User-Instance-Exists',    'This Instance is already associated with the user.',getdate(),getdate(),1)</v>
      </c>
    </row>
    <row r="50" spans="1:6" x14ac:dyDescent="0.25">
      <c r="A50">
        <v>1050</v>
      </c>
      <c r="B50" s="2">
        <v>1</v>
      </c>
      <c r="C50" t="str">
        <f t="shared" si="0"/>
        <v>'1050'</v>
      </c>
      <c r="D50" t="s">
        <v>94</v>
      </c>
      <c r="E50" t="s">
        <v>95</v>
      </c>
      <c r="F50" t="str">
        <f t="shared" si="1"/>
        <v>insert into sysLocalizationText Values(1050,'1050',     'User-Instance-No-Exists',    'This Instance does not belong to the user.',getdate(),getdate(),1)</v>
      </c>
    </row>
    <row r="51" spans="1:6" x14ac:dyDescent="0.25">
      <c r="A51">
        <v>1051</v>
      </c>
      <c r="B51" s="2">
        <v>1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Values(1051,'1051','User-PageTitle','User Management',getdate(),getdate(),1)</v>
      </c>
    </row>
    <row r="52" spans="1:6" x14ac:dyDescent="0.25">
      <c r="A52">
        <v>1052</v>
      </c>
      <c r="B52" s="2">
        <v>1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Values(1052,'1052','SearchButtonLabel','Search',getdate(),getdate(),1)</v>
      </c>
    </row>
    <row r="53" spans="1:6" x14ac:dyDescent="0.25">
      <c r="A53">
        <v>1053</v>
      </c>
      <c r="B53" s="2">
        <v>1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Values(1053,'1053','SearchingLabel','Searching...',getdate(),getdate(),1)</v>
      </c>
    </row>
    <row r="54" spans="1:6" x14ac:dyDescent="0.25">
      <c r="A54">
        <v>1054</v>
      </c>
      <c r="B54" s="2">
        <v>1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Values(1054,'1054','InsertingLoadingLabel','Inserting...',getdate(),getdate(),1)</v>
      </c>
    </row>
    <row r="55" spans="1:6" x14ac:dyDescent="0.25">
      <c r="A55">
        <v>1055</v>
      </c>
      <c r="B55" s="2">
        <v>1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Values(1055,'1055','SearchResultLabel','Search Result',getdate(),getdate(),1)</v>
      </c>
    </row>
    <row r="56" spans="1:6" x14ac:dyDescent="0.25">
      <c r="A56">
        <v>1056</v>
      </c>
      <c r="B56" s="2">
        <v>1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Values(1056,'1056','DetailsLabel','Details',getdate(),getdate(),1)</v>
      </c>
    </row>
    <row r="57" spans="1:6" x14ac:dyDescent="0.25">
      <c r="A57">
        <v>1057</v>
      </c>
      <c r="B57" s="2">
        <v>1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Values(1057,'1057','NoRecordsFound','No records was found',getdate(),getdate(),1)</v>
      </c>
    </row>
    <row r="58" spans="1:6" x14ac:dyDescent="0.25">
      <c r="A58">
        <v>1058</v>
      </c>
      <c r="B58" s="2">
        <v>1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Values(1058,'1058','LoadingPage','Loading. Wait...',getdate(),getdate(),1)</v>
      </c>
    </row>
    <row r="59" spans="1:6" x14ac:dyDescent="0.25">
      <c r="A59">
        <v>1059</v>
      </c>
      <c r="B59" s="2">
        <v>1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Values(1059,'1059','LoadingData','Loading Page. Wait...',getdate(),getdate(),1)</v>
      </c>
    </row>
    <row r="60" spans="1:6" x14ac:dyDescent="0.25">
      <c r="A60">
        <v>1060</v>
      </c>
      <c r="B60" s="2">
        <v>1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Values(1060,'1060','ErrorOnExecuteSearch','Error on execute search',getdate(),getdate(),1)</v>
      </c>
    </row>
    <row r="61" spans="1:6" x14ac:dyDescent="0.25">
      <c r="A61">
        <v>1061</v>
      </c>
      <c r="B61" s="2">
        <v>1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Values(1061,'1061','ErrorOnReturnData','Error on return data',getdate(),getdate(),1)</v>
      </c>
    </row>
    <row r="62" spans="1:6" x14ac:dyDescent="0.25">
      <c r="A62">
        <v>1062</v>
      </c>
      <c r="B62" s="2">
        <v>1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Values(1062,'1062','ErrorOnCreateNewRecord','Error on create record',getdate(),getdate(),1)</v>
      </c>
    </row>
    <row r="63" spans="1:6" x14ac:dyDescent="0.25">
      <c r="A63">
        <v>1063</v>
      </c>
      <c r="B63" s="2">
        <v>1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Values(1063,'1063','AfterSaveAnswering','The new record was created successfuly. Do you want inserting ?',getdate(),getdate(),1)</v>
      </c>
    </row>
    <row r="64" spans="1:6" x14ac:dyDescent="0.25">
      <c r="A64">
        <v>1064</v>
      </c>
      <c r="B64" s="2">
        <v>1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Values(1064,'1064','NoticeLabel','Notice',getdate(),getdate(),1)</v>
      </c>
    </row>
    <row r="65" spans="1:6" x14ac:dyDescent="0.25">
      <c r="A65">
        <v>1065</v>
      </c>
      <c r="B65" s="2">
        <v>1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Values(1065,'1065','SuccessLabel','Success',getdate(),getdate(),1)</v>
      </c>
    </row>
    <row r="66" spans="1:6" x14ac:dyDescent="0.25">
      <c r="A66">
        <v>1066</v>
      </c>
      <c r="B66" s="2">
        <v>1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Values(1066,'1066','SuccessSaveMessage','The record was saved successfuly.',getdate(),getdate(),1)</v>
      </c>
    </row>
    <row r="67" spans="1:6" x14ac:dyDescent="0.25">
      <c r="A67">
        <v>1067</v>
      </c>
      <c r="B67" s="2">
        <v>1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Values(1067,'1067','Email-Label','E-mail',getdate(),getdate(),1)</v>
      </c>
    </row>
    <row r="68" spans="1:6" x14ac:dyDescent="0.25">
      <c r="A68">
        <v>1068</v>
      </c>
      <c r="B68" s="2">
        <v>1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Values(1068,'1068','UserName-Label','User Name',getdate(),getdate(),1)</v>
      </c>
    </row>
    <row r="69" spans="1:6" x14ac:dyDescent="0.25">
      <c r="A69">
        <v>1069</v>
      </c>
      <c r="B69" s="2">
        <v>1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Values(1069,'1069','Password-Label','Password',getdate(),getdate(),1)</v>
      </c>
    </row>
    <row r="70" spans="1:6" x14ac:dyDescent="0.25">
      <c r="A70">
        <v>1070</v>
      </c>
      <c r="B70" s="2">
        <v>1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Values(1070,'1070','Instance-Label','Instance',getdate(),getdate(),1)</v>
      </c>
    </row>
    <row r="71" spans="1:6" x14ac:dyDescent="0.25">
      <c r="A71">
        <v>1071</v>
      </c>
      <c r="B71" s="2">
        <v>1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Values(1071,'1071','Role-Label','Role',getdate(),getdate(),1)</v>
      </c>
    </row>
    <row r="72" spans="1:6" x14ac:dyDescent="0.25">
      <c r="A72">
        <v>1072</v>
      </c>
      <c r="B72" s="2">
        <v>1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Values(1072,'1072','Yes-Text','Yes',getdate(),getdate(),1)</v>
      </c>
    </row>
    <row r="73" spans="1:6" x14ac:dyDescent="0.25">
      <c r="A73">
        <v>1073</v>
      </c>
      <c r="B73" s="2">
        <v>1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Values(1073,'1073','No-Text','No',getdate(),getdate(),1)</v>
      </c>
    </row>
    <row r="74" spans="1:6" x14ac:dyDescent="0.25">
      <c r="A74">
        <v>1074</v>
      </c>
      <c r="B74" s="2">
        <v>1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Values(1074,'1074','Saving-Label','Saving...',getdate(),getdate(),1)</v>
      </c>
    </row>
    <row r="75" spans="1:6" x14ac:dyDescent="0.25">
      <c r="A75">
        <v>1075</v>
      </c>
      <c r="B75" s="2">
        <v>1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Values(1075,'1075','Edit-Label','Edit',getdate(),getdate(),1)</v>
      </c>
    </row>
    <row r="76" spans="1:6" x14ac:dyDescent="0.25">
      <c r="A76">
        <v>1076</v>
      </c>
      <c r="B76" s="2">
        <v>1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Values(1076,'1076','Date-Label','Date',getdate(),getdate(),1)</v>
      </c>
    </row>
    <row r="77" spans="1:6" x14ac:dyDescent="0.25">
      <c r="A77">
        <v>1077</v>
      </c>
      <c r="B77" s="2">
        <v>1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Values(1077,'1077','Field-Label','Field',getdate(),getdate(),1)</v>
      </c>
    </row>
    <row r="78" spans="1:6" x14ac:dyDescent="0.25">
      <c r="A78">
        <v>1078</v>
      </c>
      <c r="B78" s="2">
        <v>1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Values(1078,'1078','Value-Label','Value',getdate(),getdate(),1)</v>
      </c>
    </row>
    <row r="79" spans="1:6" x14ac:dyDescent="0.25">
      <c r="A79">
        <v>1079</v>
      </c>
      <c r="B79" s="2">
        <v>1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Values(1079,'1079','SelectItem-Description','Select a item',getdate(),getdate(),1)</v>
      </c>
    </row>
    <row r="80" spans="1:6" x14ac:dyDescent="0.25">
      <c r="A80">
        <v>1080</v>
      </c>
      <c r="B80" s="2">
        <v>1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Values(1080,'1080','AllItem-Description','All',getdate(),getdate(),1)</v>
      </c>
    </row>
    <row r="81" spans="1:6" x14ac:dyDescent="0.25">
      <c r="A81">
        <v>1081</v>
      </c>
      <c r="B81" s="2">
        <v>1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Values(1081,'1081','Welcome-Label','Welcome to GW Template',getdate(),getdate(),1)</v>
      </c>
    </row>
    <row r="82" spans="1:6" x14ac:dyDescent="0.25">
      <c r="A82">
        <v>1082</v>
      </c>
      <c r="B82" s="2">
        <v>1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Values(1082,'1082','LoginTitle-Label','Sign In',getdate(),getdate(),1)</v>
      </c>
    </row>
    <row r="83" spans="1:6" x14ac:dyDescent="0.25">
      <c r="A83">
        <v>1083</v>
      </c>
      <c r="B83" s="2">
        <v>1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Values(1083,'1083','LoginTitle-Description','Enter your access credentials',getdate(),getdate(),1)</v>
      </c>
    </row>
    <row r="84" spans="1:6" x14ac:dyDescent="0.25">
      <c r="A84">
        <v>1084</v>
      </c>
      <c r="B84" s="2">
        <v>1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Values(1084,'1084','InputEmail-Description','Input your account e-mail',getdate(),getdate(),1)</v>
      </c>
    </row>
    <row r="85" spans="1:6" x14ac:dyDescent="0.25">
      <c r="A85">
        <v>1085</v>
      </c>
      <c r="B85" s="2">
        <v>1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Values(1085,'1085','InputPassword-Description','Input your password',getdate(),getdate(),1)</v>
      </c>
    </row>
    <row r="86" spans="1:6" x14ac:dyDescent="0.25">
      <c r="A86">
        <v>1086</v>
      </c>
      <c r="B86" s="2">
        <v>1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Values(1086,'1086','ForgetPassword-Description','Forgot your password ?',getdate(),getdate(),1)</v>
      </c>
    </row>
    <row r="87" spans="1:6" x14ac:dyDescent="0.25">
      <c r="A87">
        <v>1087</v>
      </c>
      <c r="B87" s="2">
        <v>1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Values(1087,'1087','LoginButton-Label','Confirm',getdate(),getdate(),1)</v>
      </c>
    </row>
    <row r="88" spans="1:6" x14ac:dyDescent="0.25">
      <c r="A88">
        <v>1088</v>
      </c>
      <c r="B88" s="2">
        <v>1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Values(1088,'1088','LoginLoading-Label','Entering...',getdate(),getdate(),1)</v>
      </c>
    </row>
    <row r="89" spans="1:6" x14ac:dyDescent="0.25">
      <c r="A89">
        <v>1089</v>
      </c>
      <c r="B89" s="2">
        <v>1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Values(1089,'1089','SendText-Description','Sending...',getdate(),getdate(),1)</v>
      </c>
    </row>
    <row r="90" spans="1:6" x14ac:dyDescent="0.25">
      <c r="A90">
        <v>1090</v>
      </c>
      <c r="B90" s="2">
        <v>1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Values(1090,'1090','ActiveAccountButton-Label','Activate Account',getdate(),getdate(),1)</v>
      </c>
    </row>
    <row r="91" spans="1:6" x14ac:dyDescent="0.25">
      <c r="A91">
        <v>1091</v>
      </c>
      <c r="B91" s="2">
        <v>1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Values(1091,'1091','ActiveAccount-Label','Account Activation',getdate(),getdate(),1)</v>
      </c>
    </row>
    <row r="92" spans="1:6" x14ac:dyDescent="0.25">
      <c r="A92">
        <v>1092</v>
      </c>
      <c r="B92" s="2">
        <v>1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Values(1092,'1092','ActiveAccount-Description','Cannot access ?',getdate(),getdate(),1)</v>
      </c>
    </row>
    <row r="93" spans="1:6" x14ac:dyDescent="0.25">
      <c r="A93">
        <v>1093</v>
      </c>
      <c r="B93" s="2">
        <v>1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Values(1093,'1093','ActiveAccount-Step1','Send the activation code to your registration email',getdate(),getdate(),1)</v>
      </c>
    </row>
    <row r="94" spans="1:6" x14ac:dyDescent="0.25">
      <c r="A94">
        <v>1094</v>
      </c>
      <c r="B94" s="2">
        <v>1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Values(1094,'1094','ActiveAccount-Step2','Enter the activation code received',getdate(),getdate(),1)</v>
      </c>
    </row>
    <row r="95" spans="1:6" x14ac:dyDescent="0.25">
      <c r="A95">
        <v>1095</v>
      </c>
      <c r="B95" s="2">
        <v>1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Values(1095,'1095','SendCodeButton-Label','Send code',getdate(),getdate(),1)</v>
      </c>
    </row>
    <row r="96" spans="1:6" x14ac:dyDescent="0.25">
      <c r="A96">
        <v>1096</v>
      </c>
      <c r="B96" s="2">
        <v>1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Values(1096,'1096','ActiveLoading-Label','Request Activation',getdate(),getdate(),1)</v>
      </c>
    </row>
    <row r="97" spans="1:6" x14ac:dyDescent="0.25">
      <c r="A97">
        <v>1097</v>
      </c>
      <c r="B97" s="2">
        <v>1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Values(1097,'1097','InputCode-Description','Input code received on e-mail',getdate(),getdate(),1)</v>
      </c>
    </row>
    <row r="98" spans="1:6" x14ac:dyDescent="0.25">
      <c r="A98">
        <v>1098</v>
      </c>
      <c r="B98" s="2">
        <v>1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Values(1098,'1098','Unlogged-Label','Not Logged',getdate(),getdate(),1)</v>
      </c>
    </row>
    <row r="99" spans="1:6" x14ac:dyDescent="0.25">
      <c r="A99">
        <v>1099</v>
      </c>
      <c r="B99" s="2">
        <v>1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Values(1099,'1099','MyProfile-Label','My Profile',getdate(),getdate(),1)</v>
      </c>
    </row>
    <row r="100" spans="1:6" x14ac:dyDescent="0.25">
      <c r="A100">
        <v>1100</v>
      </c>
      <c r="B100" s="2">
        <v>1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Values(1100,'1100','MainProfileData-Label','Main Info',getdate(),getdate(),1)</v>
      </c>
    </row>
    <row r="101" spans="1:6" x14ac:dyDescent="0.25">
      <c r="A101">
        <v>1101</v>
      </c>
      <c r="B101" s="2">
        <v>1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Values(1101,'1101','AlterPassword-Label','Change Password',getdate(),getdate(),1)</v>
      </c>
    </row>
    <row r="102" spans="1:6" x14ac:dyDescent="0.25">
      <c r="A102">
        <v>1102</v>
      </c>
      <c r="B102" s="2">
        <v>1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Values(1102,'1102','LanguageRole-Label','Language',getdate(),getdate(),1)</v>
      </c>
    </row>
    <row r="103" spans="1:6" x14ac:dyDescent="0.25">
      <c r="A103">
        <v>1103</v>
      </c>
      <c r="B103" s="2">
        <v>1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Values(1103,'1103','AlterProfileImage-Label','Change Profile Image',getdate(),getdate(),1)</v>
      </c>
    </row>
    <row r="104" spans="1:6" x14ac:dyDescent="0.25">
      <c r="A104">
        <v>1104</v>
      </c>
      <c r="B104" s="2">
        <v>1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Values(1104,'1104','AlterPasswordStep1-Label','Click on the link below to receive an email with the security code to change your password',getdate(),getdate(),1)</v>
      </c>
    </row>
    <row r="105" spans="1:6" x14ac:dyDescent="0.25">
      <c r="A105">
        <v>1105</v>
      </c>
      <c r="B105" s="2">
        <v>1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Values(1105,'1105','AlterPasswordStep2-Label','After receiving the code, fill in the information below and click Change Password',getdate(),getdate(),1)</v>
      </c>
    </row>
    <row r="106" spans="1:6" x14ac:dyDescent="0.25">
      <c r="A106">
        <v>1106</v>
      </c>
      <c r="B106" s="2">
        <v>1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Values(1106,'1106','InputNewPassword-Label','Input the new password',getdate(),getdate(),1)</v>
      </c>
    </row>
    <row r="107" spans="1:6" x14ac:dyDescent="0.25">
      <c r="A107">
        <v>1107</v>
      </c>
      <c r="B107" s="2">
        <v>1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Values(1107,'1107','AlterPasswordButton-Label','Change Password',getdate(),getdate(),1)</v>
      </c>
    </row>
    <row r="108" spans="1:6" x14ac:dyDescent="0.25">
      <c r="A108">
        <v>1108</v>
      </c>
      <c r="B108" s="2">
        <v>1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Values(1108,'1108','AlterPasswordButton-Loading','Changing password...',getdate(),getdate(),1)</v>
      </c>
    </row>
    <row r="109" spans="1:6" x14ac:dyDescent="0.25">
      <c r="A109">
        <v>1109</v>
      </c>
      <c r="B109" s="2">
        <v>1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Values(1109,'1109','InvalidCredentials-Title','Invalid Credentiais',getdate(),getdate(),1)</v>
      </c>
    </row>
    <row r="110" spans="1:6" x14ac:dyDescent="0.25">
      <c r="A110">
        <v>1110</v>
      </c>
      <c r="B110" s="2">
        <v>1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Values(1110,'1110','InvalidCredentials-Message','E-mail or password invalid.',getdate(),getdate(),1)</v>
      </c>
    </row>
    <row r="111" spans="1:6" x14ac:dyDescent="0.25">
      <c r="A111">
        <v>1111</v>
      </c>
      <c r="B111" s="2">
        <v>1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Values(1111,'1111','TemporaryPassword-Title','Temporary Password Sent',getdate(),getdate(),1)</v>
      </c>
    </row>
    <row r="112" spans="1:6" x14ac:dyDescent="0.25">
      <c r="A112">
        <v>1112</v>
      </c>
      <c r="B112" s="2">
        <v>1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Values(1112,'1112','TemporaryPassword-Message','A temporary password has been sent to your registration e-mail. When logging in, ask to change your password.',getdate(),getdate(),1)</v>
      </c>
    </row>
    <row r="113" spans="1:6" x14ac:dyDescent="0.25">
      <c r="A113">
        <v>1113</v>
      </c>
      <c r="B113" s="2">
        <v>1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Values(1113,'1113','SuccessActivated-Title','Activation Successfuly',getdate(),getdate(),1)</v>
      </c>
    </row>
    <row r="114" spans="1:6" x14ac:dyDescent="0.25">
      <c r="A114">
        <v>1114</v>
      </c>
      <c r="B114" s="2">
        <v>1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Values(1114,'1114','SuccessActivated-Message','The account has been successfully activated. You can now log in.',getdate(),getdate(),1)</v>
      </c>
    </row>
    <row r="115" spans="1:6" x14ac:dyDescent="0.25">
      <c r="A115">
        <v>1115</v>
      </c>
      <c r="B115" s="2">
        <v>1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Values(1115,'1115','ActivateCode-Title','Code was Sent .',getdate(),getdate(),1)</v>
      </c>
    </row>
    <row r="116" spans="1:6" x14ac:dyDescent="0.25">
      <c r="A116">
        <v>1116</v>
      </c>
      <c r="B116" s="2">
        <v>1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Values(1116,'1116','ActivateCode-Message','A security code has been sent by e-mail.',getdate(),getdate(),1)</v>
      </c>
    </row>
    <row r="117" spans="1:6" x14ac:dyDescent="0.25">
      <c r="A117">
        <v>1117</v>
      </c>
      <c r="B117" s="2">
        <v>1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Values(1117,'1117','PasswordChanged-Title','Changed Password',getdate(),getdate(),1)</v>
      </c>
    </row>
    <row r="118" spans="1:6" x14ac:dyDescent="0.25">
      <c r="A118">
        <v>1118</v>
      </c>
      <c r="B118" s="2">
        <v>1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Values(1118,'1118','PasswordChanged-Message','The password has been successfully changed. Log in again.',getdate(),getdate(),1)</v>
      </c>
    </row>
    <row r="119" spans="1:6" x14ac:dyDescent="0.25">
      <c r="A119">
        <v>1119</v>
      </c>
      <c r="B119" s="2">
        <v>1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Values(1119,'1119','ImageChanged-Title','Altered Image',getdate(),getdate(),1)</v>
      </c>
    </row>
    <row r="120" spans="1:6" x14ac:dyDescent="0.25">
      <c r="A120">
        <v>1120</v>
      </c>
      <c r="B120" s="2">
        <v>1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Values(1120,'1120','ImageChanged-Message','The profile picture has been changed. At the next login the new image will be displayed.',getdate(),getdate(),1)</v>
      </c>
    </row>
    <row r="121" spans="1:6" x14ac:dyDescent="0.25">
      <c r="A121">
        <v>1121</v>
      </c>
      <c r="B121" s="2">
        <v>1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Values(1121,'1121','SearchByEmail-Label','By E-mail',getdate(),getdate(),1)</v>
      </c>
    </row>
    <row r="122" spans="1:6" x14ac:dyDescent="0.25">
      <c r="A122">
        <v>1122</v>
      </c>
      <c r="B122" s="2">
        <v>1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Values(1122,'1122','SearchByUserName-Label','By User Name',getdate(),getdate(),1)</v>
      </c>
    </row>
    <row r="123" spans="1:6" x14ac:dyDescent="0.25">
      <c r="A123">
        <v>1123</v>
      </c>
      <c r="B123" s="2">
        <v>1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Values(1123,'1123','SearchByEmail-Description','Search By E-mail',getdate(),getdate(),1)</v>
      </c>
    </row>
    <row r="124" spans="1:6" x14ac:dyDescent="0.25">
      <c r="A124">
        <v>1124</v>
      </c>
      <c r="B124" s="2">
        <v>1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Values(1124,'1124','SearchByUserName-Description','Search By User Name',getdate(),getdate(),1)</v>
      </c>
    </row>
    <row r="125" spans="1:6" x14ac:dyDescent="0.25">
      <c r="A125">
        <v>1125</v>
      </c>
      <c r="B125" s="2">
        <v>1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Values(1125,'1125','SearchByInstance-Label','By Instance',getdate(),getdate(),1)</v>
      </c>
    </row>
    <row r="126" spans="1:6" x14ac:dyDescent="0.25">
      <c r="A126">
        <v>1126</v>
      </c>
      <c r="B126" s="2">
        <v>1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Values(1126,'1126','SearchByRole-Label','By Role',getdate(),getdate(),1)</v>
      </c>
    </row>
    <row r="127" spans="1:6" x14ac:dyDescent="0.25">
      <c r="A127">
        <v>1127</v>
      </c>
      <c r="B127" s="2">
        <v>1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Values(1127,'1127','NewUser-Label','New User',getdate(),getdate(),1)</v>
      </c>
    </row>
    <row r="128" spans="1:6" x14ac:dyDescent="0.25">
      <c r="A128">
        <v>1128</v>
      </c>
      <c r="B128" s="2">
        <v>1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Values(1128,'1128','NewUser-Description','Click here to create new User',getdate(),getdate(),1)</v>
      </c>
    </row>
    <row r="129" spans="1:6" x14ac:dyDescent="0.25">
      <c r="A129">
        <v>1129</v>
      </c>
      <c r="B129" s="2">
        <v>1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Values(1129,'1129','Active-Label','Active',getdate(),getdate(),1)</v>
      </c>
    </row>
    <row r="130" spans="1:6" x14ac:dyDescent="0.25">
      <c r="A130">
        <v>1130</v>
      </c>
      <c r="B130" s="2">
        <v>1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Values(1130,'1130','Locked-Label','Locked',getdate(),getdate(),1)</v>
      </c>
    </row>
    <row r="131" spans="1:6" x14ac:dyDescent="0.25">
      <c r="A131">
        <v>1131</v>
      </c>
      <c r="B131" s="2">
        <v>1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Values(1131,'1131','MainData-Label','Main Data',getdate(),getdate(),1)</v>
      </c>
    </row>
    <row r="132" spans="1:6" x14ac:dyDescent="0.25">
      <c r="A132">
        <v>1132</v>
      </c>
      <c r="B132" s="2">
        <v>1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Values(1132,'1132','User-SecondTabLabel','Instances &amp; Roles',getdate(),getdate(),1)</v>
      </c>
    </row>
    <row r="133" spans="1:6" x14ac:dyDescent="0.25">
      <c r="A133">
        <v>1133</v>
      </c>
      <c r="B133" s="2">
        <v>1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Values(1133,'1133','CreateDate-Label','Create Date',getdate(),getdate(),1)</v>
      </c>
    </row>
    <row r="134" spans="1:6" x14ac:dyDescent="0.25">
      <c r="A134">
        <v>1134</v>
      </c>
      <c r="B134" s="2">
        <v>1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Values(1134,'1134','LastLoginDate-Label','Last Login Date',getdate(),getdate(),1)</v>
      </c>
    </row>
    <row r="135" spans="1:6" x14ac:dyDescent="0.25">
      <c r="A135">
        <v>1135</v>
      </c>
      <c r="B135" s="2">
        <v>1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Values(1135,'1135','DefaultLanguage-Label','Default Language',getdate(),getdate(),1)</v>
      </c>
    </row>
    <row r="136" spans="1:6" x14ac:dyDescent="0.25">
      <c r="A136">
        <v>1136</v>
      </c>
      <c r="B136" s="2">
        <v>1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Values(1136,'1136','LastLoginIP-Label','Last Login IP',getdate(),getdate(),1)</v>
      </c>
    </row>
    <row r="137" spans="1:6" x14ac:dyDescent="0.25">
      <c r="A137">
        <v>1137</v>
      </c>
      <c r="B137" s="2">
        <v>1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Values(1137,'1137','LoginCounter-Label','Login Counter',getdate(),getdate(),1)</v>
      </c>
    </row>
    <row r="138" spans="1:6" x14ac:dyDescent="0.25">
      <c r="A138">
        <v>1138</v>
      </c>
      <c r="B138" s="2">
        <v>1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Values(1138,'1138','PasswordRecovery-Label','Password Recovery Code',getdate(),getdate(),1)</v>
      </c>
    </row>
    <row r="139" spans="1:6" x14ac:dyDescent="0.25">
      <c r="A139">
        <v>1139</v>
      </c>
      <c r="B139" s="2">
        <v>1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Values(1139,'1139','AlterInstance-Label','Alter Instance',getdate(),getdate(),1)</v>
      </c>
    </row>
    <row r="140" spans="1:6" x14ac:dyDescent="0.25">
      <c r="A140">
        <v>1140</v>
      </c>
      <c r="B140" s="2">
        <v>1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Values(1140,'1140','AlterInstance-Description','Select a Instance to change',getdate(),getdate(),1)</v>
      </c>
    </row>
    <row r="141" spans="1:6" x14ac:dyDescent="0.25">
      <c r="A141">
        <v>1141</v>
      </c>
      <c r="B141" s="2">
        <v>1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Values(1141,'1141','Altering-Label','Altering...',getdate(),getdate(),1)</v>
      </c>
    </row>
    <row r="142" spans="1:6" x14ac:dyDescent="0.25">
      <c r="A142">
        <v>1142</v>
      </c>
      <c r="B142" s="2">
        <v>1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Values(1142,'1142','AlterRole-Label','Alter Role',getdate(),getdate(),1)</v>
      </c>
    </row>
    <row r="143" spans="1:6" x14ac:dyDescent="0.25">
      <c r="A143">
        <v>1143</v>
      </c>
      <c r="B143" s="2">
        <v>1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Values(1143,'1143','AlterRole-Description','Select a Role to change',getdate(),getdate(),1)</v>
      </c>
    </row>
    <row r="144" spans="1:6" x14ac:dyDescent="0.25">
      <c r="A144">
        <v>1144</v>
      </c>
      <c r="B144" s="2">
        <v>1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Values(1144,'1144','UserStatus-Label','User Status',getdate(),getdate(),1)</v>
      </c>
    </row>
    <row r="145" spans="1:6" x14ac:dyDescent="0.25">
      <c r="A145">
        <v>1145</v>
      </c>
      <c r="B145" s="2">
        <v>1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Values(1145,'1145','ChangeUserState-Description','Click here to change status',getdate(),getdate(),1)</v>
      </c>
    </row>
    <row r="146" spans="1:6" x14ac:dyDescent="0.25">
      <c r="A146">
        <v>1146</v>
      </c>
      <c r="B146" s="2">
        <v>1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Values(1146,'1146','ChangeUserState-Label','Update Status',getdate(),getdate(),1)</v>
      </c>
    </row>
    <row r="147" spans="1:6" x14ac:dyDescent="0.25">
      <c r="A147">
        <v>1147</v>
      </c>
      <c r="B147" s="2">
        <v>1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Values(1147,'1147','CreateUser-Label','Creating New User',getdate(),getdate(),1)</v>
      </c>
    </row>
    <row r="148" spans="1:6" x14ac:dyDescent="0.25">
      <c r="A148">
        <v>1148</v>
      </c>
      <c r="B148" s="2">
        <v>1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Values(1148,'1148','CreateUser-Description','Click here to create new user record.',getdate(),getdate(),1)</v>
      </c>
    </row>
    <row r="149" spans="1:6" x14ac:dyDescent="0.25">
      <c r="A149">
        <v>1149</v>
      </c>
      <c r="B149" s="2">
        <v>1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Values(1149,'1149','CreateUserButton-Label','Save',getdate(),getdate(),1)</v>
      </c>
    </row>
    <row r="150" spans="1:6" x14ac:dyDescent="0.25">
      <c r="A150">
        <v>1150</v>
      </c>
      <c r="B150" s="2">
        <v>1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Values(1150,'1150','AlterStatus-Error','Error on alter user status',getdate(),getdate(),1)</v>
      </c>
    </row>
    <row r="151" spans="1:6" x14ac:dyDescent="0.25">
      <c r="A151">
        <v>1151</v>
      </c>
      <c r="B151" s="2">
        <v>1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Values(1151,'1151','AlterStatus-Success','User status altered successfuly',getdate(),getdate(),1)</v>
      </c>
    </row>
    <row r="152" spans="1:6" x14ac:dyDescent="0.25">
      <c r="A152">
        <v>1152</v>
      </c>
      <c r="B152" s="2">
        <v>1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Values(1152,'1152','AlterInstance-Error','Error on alter instance',getdate(),getdate(),1)</v>
      </c>
    </row>
    <row r="153" spans="1:6" x14ac:dyDescent="0.25">
      <c r="A153">
        <v>1153</v>
      </c>
      <c r="B153" s="2">
        <v>1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Values(1153,'1153','AlterInstance-Success','Instance altered successfuly',getdate(),getdate(),1)</v>
      </c>
    </row>
    <row r="154" spans="1:6" x14ac:dyDescent="0.25">
      <c r="A154">
        <v>1154</v>
      </c>
      <c r="B154" s="2">
        <v>1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Values(1154,'1154','AlterRole-Error','Error on alter user role',getdate(),getdate(),1)</v>
      </c>
    </row>
    <row r="155" spans="1:6" x14ac:dyDescent="0.25">
      <c r="A155">
        <v>1155</v>
      </c>
      <c r="B155" s="2">
        <v>1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Values(1155,'1155','AlterRole-Success','Role altered successfuly',getdate(),getdate(),1)</v>
      </c>
    </row>
    <row r="156" spans="1:6" x14ac:dyDescent="0.25">
      <c r="A156">
        <v>1156</v>
      </c>
      <c r="B156" s="2">
        <v>1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Values(1156,'1156','Instance-PageTitle','Instance',getdate(),getdate(),1)</v>
      </c>
    </row>
    <row r="157" spans="1:6" x14ac:dyDescent="0.25">
      <c r="A157">
        <v>1157</v>
      </c>
      <c r="B157" s="2">
        <v>1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Values(1157,'1157','SearchByInstanceName-Label','By Instance Name',getdate(),getdate(),1)</v>
      </c>
    </row>
    <row r="158" spans="1:6" x14ac:dyDescent="0.25">
      <c r="A158">
        <v>1158</v>
      </c>
      <c r="B158" s="2">
        <v>1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Values(1158,'1158','SearchByInstanceName-Description','Search by Instance Name',getdate(),getdate(),1)</v>
      </c>
    </row>
    <row r="159" spans="1:6" x14ac:dyDescent="0.25">
      <c r="A159">
        <v>1159</v>
      </c>
      <c r="B159" s="2">
        <v>1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Values(1159,'1159','SearchByInstanceTypeName-Label','By Type Name',getdate(),getdate(),1)</v>
      </c>
    </row>
    <row r="160" spans="1:6" x14ac:dyDescent="0.25">
      <c r="A160">
        <v>1160</v>
      </c>
      <c r="B160" s="2">
        <v>1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Values(1160,'1160','SearchByInstanceTypeName-Description','Search by Type Name',getdate(),getdate(),1)</v>
      </c>
    </row>
    <row r="161" spans="1:6" x14ac:dyDescent="0.25">
      <c r="A161">
        <v>1161</v>
      </c>
      <c r="B161" s="2">
        <v>1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Values(1161,'1161','NewInstance-Label','New Instance',getdate(),getdate(),1)</v>
      </c>
    </row>
    <row r="162" spans="1:6" x14ac:dyDescent="0.25">
      <c r="A162">
        <v>1162</v>
      </c>
      <c r="B162" s="2">
        <v>1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Values(1162,'1162','NewInstance-Description','Click here to create new Instance',getdate(),getdate(),1)</v>
      </c>
    </row>
    <row r="163" spans="1:6" x14ac:dyDescent="0.25">
      <c r="A163">
        <v>1163</v>
      </c>
      <c r="B163" s="2">
        <v>1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Values(1163,'1163','InstanceTypeName-Label','Instance Type Name',getdate(),getdate(),1)</v>
      </c>
    </row>
    <row r="164" spans="1:6" x14ac:dyDescent="0.25">
      <c r="A164">
        <v>1164</v>
      </c>
      <c r="B164" s="2">
        <v>1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Values(1164,'1164','InstanceName-Label','Instance Name',getdate(),getdate(),1)</v>
      </c>
    </row>
    <row r="165" spans="1:6" x14ac:dyDescent="0.25">
      <c r="A165">
        <v>1165</v>
      </c>
      <c r="B165" s="2">
        <v>1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Values(1165,'1165','InstanceRecord-Label','Instance Record',getdate(),getdate(),1)</v>
      </c>
    </row>
    <row r="166" spans="1:6" x14ac:dyDescent="0.25">
      <c r="A166">
        <v>1166</v>
      </c>
      <c r="B166" s="2">
        <v>1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Values(1166,'1166','SaveInstanceButton-Label','Save Instance',getdate(),getdate(),1)</v>
      </c>
    </row>
    <row r="167" spans="1:6" x14ac:dyDescent="0.25">
      <c r="A167">
        <v>1167</v>
      </c>
      <c r="B167" s="2">
        <v>1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Values(1167,'1167','SaveInstanceButton-Description','Click here to save Instance',getdate(),getdate(),1)</v>
      </c>
    </row>
    <row r="168" spans="1:6" x14ac:dyDescent="0.25">
      <c r="A168">
        <v>1168</v>
      </c>
      <c r="B168" s="2">
        <v>1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Values(1168,'1168','DataLog-PageTitle','Data Log',getdate(),getdate(),1)</v>
      </c>
    </row>
    <row r="169" spans="1:6" x14ac:dyDescent="0.25">
      <c r="A169">
        <v>1169</v>
      </c>
      <c r="B169" s="2">
        <v>1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Values(1169,'1169','SearchByOperationType-Label','By Operation Type',getdate(),getdate(),1)</v>
      </c>
    </row>
    <row r="170" spans="1:6" x14ac:dyDescent="0.25">
      <c r="A170">
        <v>1170</v>
      </c>
      <c r="B170" s="2">
        <v>1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Values(1170,'1170','SearchByObject-Label','By Object',getdate(),getdate(),1)</v>
      </c>
    </row>
    <row r="171" spans="1:6" x14ac:dyDescent="0.25">
      <c r="A171">
        <v>1171</v>
      </c>
      <c r="B171" s="2">
        <v>1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Values(1171,'1171','SearchByIntervalDate-Label','By Date Range',getdate(),getdate(),1)</v>
      </c>
    </row>
    <row r="172" spans="1:6" x14ac:dyDescent="0.25">
      <c r="A172">
        <v>1172</v>
      </c>
      <c r="B172" s="2">
        <v>1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Values(1172,'1172','SearchByInicialDate-Label','Start Date',getdate(),getdate(),1)</v>
      </c>
    </row>
    <row r="173" spans="1:6" x14ac:dyDescent="0.25">
      <c r="A173">
        <v>1173</v>
      </c>
      <c r="B173" s="2">
        <v>1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Values(1173,'1173','SearchByFinalDate-Label','End Date',getdate(),getdate(),1)</v>
      </c>
    </row>
    <row r="174" spans="1:6" x14ac:dyDescent="0.25">
      <c r="A174">
        <v>1174</v>
      </c>
      <c r="B174" s="2">
        <v>1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Values(1174,'1174','SearchByRecordID-Label','Search Record ID',getdate(),getdate(),1)</v>
      </c>
    </row>
    <row r="175" spans="1:6" x14ac:dyDescent="0.25">
      <c r="A175">
        <v>1175</v>
      </c>
      <c r="B175" s="2">
        <v>1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Values(1175,'1175','TableName-Label','Table Name',getdate(),getdate(),1)</v>
      </c>
    </row>
    <row r="176" spans="1:6" x14ac:dyDescent="0.25">
      <c r="A176">
        <v>1176</v>
      </c>
      <c r="B176" s="2">
        <v>1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Values(1176,'1176','OperationText-Label','Operation Text',getdate(),getdate(),1)</v>
      </c>
    </row>
    <row r="177" spans="1:6" x14ac:dyDescent="0.25">
      <c r="A177">
        <v>1177</v>
      </c>
      <c r="B177" s="2">
        <v>1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Values(1177,'1177','LogID-Label','Log ID',getdate(),getdate(),1)</v>
      </c>
    </row>
    <row r="178" spans="1:6" x14ac:dyDescent="0.25">
      <c r="A178">
        <v>1178</v>
      </c>
      <c r="B178" s="2">
        <v>1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Values(1178,'1178','LogInformation-Label','Log Information',getdate(),getdate(),1)</v>
      </c>
    </row>
    <row r="179" spans="1:6" x14ac:dyDescent="0.25">
      <c r="A179">
        <v>1179</v>
      </c>
      <c r="B179" s="2">
        <v>1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Values(1179,'1179','ShowTimeLine-Label','Show Time Line',getdate(),getdate(),1)</v>
      </c>
    </row>
    <row r="180" spans="1:6" x14ac:dyDescent="0.25">
      <c r="A180">
        <v>1180</v>
      </c>
      <c r="B180" s="2">
        <v>1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Values(1180,'1180','OldVersionData-Label','Old Version',getdate(),getdate(),1)</v>
      </c>
    </row>
    <row r="181" spans="1:6" x14ac:dyDescent="0.25">
      <c r="A181">
        <v>1181</v>
      </c>
      <c r="B181" s="2">
        <v>1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Values(1181,'1181','HasNoOldVersion-Label','No data was found',getdate(),getdate(),1)</v>
      </c>
    </row>
    <row r="182" spans="1:6" x14ac:dyDescent="0.25">
      <c r="A182">
        <v>1182</v>
      </c>
      <c r="B182" s="2">
        <v>1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Values(1182,'1182','CurrentVersionData-Label','Current Version',getdate(),getdate(),1)</v>
      </c>
    </row>
    <row r="183" spans="1:6" x14ac:dyDescent="0.25">
      <c r="A183">
        <v>1183</v>
      </c>
      <c r="B183" s="2">
        <v>1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Values(1183,'1183','HasNoCurrentVersion-Label','No data was found',getdate(),getdate(),1)</v>
      </c>
    </row>
    <row r="184" spans="1:6" x14ac:dyDescent="0.25">
      <c r="A184">
        <v>1184</v>
      </c>
      <c r="B184" s="2">
        <v>1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Values(1184,'1184','RecordTimeLine-Label','Record Time Line',getdate(),getdate(),1)</v>
      </c>
    </row>
    <row r="185" spans="1:6" x14ac:dyDescent="0.25">
      <c r="A185">
        <v>1185</v>
      </c>
      <c r="B185" s="2">
        <v>1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Values(1185,'1185','HasNoTimeLine-Label','No data on time line',getdate(),getdate(),1)</v>
      </c>
    </row>
    <row r="186" spans="1:6" x14ac:dyDescent="0.25">
      <c r="A186">
        <v>1186</v>
      </c>
      <c r="B186" s="2">
        <v>1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Values(1186,'1186','Localization-PageTitle','Localization Text',getdate(),getdate(),1)</v>
      </c>
    </row>
    <row r="187" spans="1:6" x14ac:dyDescent="0.25">
      <c r="A187">
        <v>1187</v>
      </c>
      <c r="B187" s="2">
        <v>1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Values(1187,'1187','SearchByLanguage-Label','By Language',getdate(),getdate(),1)</v>
      </c>
    </row>
    <row r="188" spans="1:6" x14ac:dyDescent="0.25">
      <c r="A188">
        <v>1188</v>
      </c>
      <c r="B188" s="2">
        <v>1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Values(1188,'1188','SearchByLanguage-Description','Search by Language',getdate(),getdate(),1)</v>
      </c>
    </row>
    <row r="189" spans="1:6" x14ac:dyDescent="0.25">
      <c r="A189">
        <v>1189</v>
      </c>
      <c r="B189" s="2">
        <v>1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Values(1189,'1189','SearchByLocalizationCode-Label','By Localization Code',getdate(),getdate(),1)</v>
      </c>
    </row>
    <row r="190" spans="1:6" x14ac:dyDescent="0.25">
      <c r="A190">
        <v>1190</v>
      </c>
      <c r="B190" s="2">
        <v>1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Values(1190,'1190','SearchByLocalizationCode-Description','Search by Localization Code',getdate(),getdate(),1)</v>
      </c>
    </row>
    <row r="191" spans="1:6" x14ac:dyDescent="0.25">
      <c r="A191">
        <v>1191</v>
      </c>
      <c r="B191" s="2">
        <v>1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Values(1191,'1191','SearchByLocalizationName-Label','By Localization Name',getdate(),getdate(),1)</v>
      </c>
    </row>
    <row r="192" spans="1:6" x14ac:dyDescent="0.25">
      <c r="A192">
        <v>1192</v>
      </c>
      <c r="B192" s="2">
        <v>1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Values(1192,'1192','SearchByLocalizationName-Description','Search by Localization Name',getdate(),getdate(),1)</v>
      </c>
    </row>
    <row r="193" spans="1:6" x14ac:dyDescent="0.25">
      <c r="A193">
        <v>1193</v>
      </c>
      <c r="B193" s="2">
        <v>1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Values(1193,'1193','SearchByLocalizationText-Label','By Localization Text',getdate(),getdate(),1)</v>
      </c>
    </row>
    <row r="194" spans="1:6" x14ac:dyDescent="0.25">
      <c r="A194">
        <v>1194</v>
      </c>
      <c r="B194" s="2">
        <v>1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Values(1194,'1194','SearchByLocalizationText-Description','Search by Localization Text',getdate(),getdate(),1)</v>
      </c>
    </row>
    <row r="195" spans="1:6" x14ac:dyDescent="0.25">
      <c r="A195">
        <v>1195</v>
      </c>
      <c r="B195" s="2">
        <v>1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Values(1195,'1195','Language-Label','Language',getdate(),getdate(),1)</v>
      </c>
    </row>
    <row r="196" spans="1:6" x14ac:dyDescent="0.25">
      <c r="A196">
        <v>1196</v>
      </c>
      <c r="B196" s="2">
        <v>1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Values(1196,'1196','LocalizationCode-Label','Localization Code',getdate(),getdate(),1)</v>
      </c>
    </row>
    <row r="197" spans="1:6" x14ac:dyDescent="0.25">
      <c r="A197">
        <v>1197</v>
      </c>
      <c r="B197" s="2">
        <v>1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Values(1197,'1197','LocalizationName-Label','Localization Name',getdate(),getdate(),1)</v>
      </c>
    </row>
    <row r="198" spans="1:6" x14ac:dyDescent="0.25">
      <c r="A198">
        <v>1198</v>
      </c>
      <c r="B198" s="2">
        <v>1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Values(1198,'1198','LocalizationRecord-Label','Localization Text Record',getdate(),getdate(),1)</v>
      </c>
    </row>
    <row r="199" spans="1:6" x14ac:dyDescent="0.25">
      <c r="A199">
        <v>1199</v>
      </c>
      <c r="B199" s="2">
        <v>1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Values(1199,'1199','LocalizationText-Label','Localization Text',getdate(),getdate(),1)</v>
      </c>
    </row>
    <row r="200" spans="1:6" x14ac:dyDescent="0.25">
      <c r="A200">
        <v>1200</v>
      </c>
      <c r="B200" s="2">
        <v>1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Values(1200,'1200','SaveLocalizationButton-Label','Save Localization',getdate(),getdate(),1)</v>
      </c>
    </row>
    <row r="201" spans="1:6" x14ac:dyDescent="0.25">
      <c r="A201">
        <v>1201</v>
      </c>
      <c r="B201" s="2">
        <v>1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Values(1201,'1201','SaveLocalizationButton-Description','Click here to save localization',getdate(),getdate(),1)</v>
      </c>
    </row>
    <row r="202" spans="1:6" x14ac:dyDescent="0.25">
      <c r="A202">
        <v>1202</v>
      </c>
      <c r="B202" s="2">
        <v>1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Values(1202,'1202','NewLocalization-Label','New Localization',getdate(),getdate(),1)</v>
      </c>
    </row>
    <row r="203" spans="1:6" x14ac:dyDescent="0.25">
      <c r="A203">
        <v>1203</v>
      </c>
      <c r="B203" s="2">
        <v>1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Values(1203,'1203','ObjectPermission-PageTitle','Object Permission',getdate(),getdate(),1)</v>
      </c>
    </row>
    <row r="204" spans="1:6" x14ac:dyDescent="0.25">
      <c r="A204">
        <v>1204</v>
      </c>
      <c r="B204" s="2">
        <v>1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Values(1204,'1204','SearchByObjectName-Label','By Object Name',getdate(),getdate(),1)</v>
      </c>
    </row>
    <row r="205" spans="1:6" x14ac:dyDescent="0.25">
      <c r="A205">
        <v>1205</v>
      </c>
      <c r="B205" s="2">
        <v>1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Values(1205,'1205','SearchByObjectName-Description','Search by Object Name',getdate(),getdate(),1)</v>
      </c>
    </row>
    <row r="206" spans="1:6" x14ac:dyDescent="0.25">
      <c r="A206">
        <v>1206</v>
      </c>
      <c r="B206" s="2">
        <v>1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Values(1206,'1206','SearchByObjectCode-Label','By Object Code',getdate(),getdate(),1)</v>
      </c>
    </row>
    <row r="207" spans="1:6" x14ac:dyDescent="0.25">
      <c r="A207">
        <v>1207</v>
      </c>
      <c r="B207" s="2">
        <v>1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Values(1207,'1207','SearchByObjectCode-Description','Search by Object Code',getdate(),getdate(),1)</v>
      </c>
    </row>
    <row r="208" spans="1:6" x14ac:dyDescent="0.25">
      <c r="A208">
        <v>1208</v>
      </c>
      <c r="B208" s="2">
        <v>1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Values(1208,'1208','NewObject-Label','New Object',getdate(),getdate(),1)</v>
      </c>
    </row>
    <row r="209" spans="1:6" x14ac:dyDescent="0.25">
      <c r="A209">
        <v>1209</v>
      </c>
      <c r="B209" s="2">
        <v>1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Values(1209,'1209','ObjectName-Label','Object Name',getdate(),getdate(),1)</v>
      </c>
    </row>
    <row r="210" spans="1:6" x14ac:dyDescent="0.25">
      <c r="A210">
        <v>1210</v>
      </c>
      <c r="B210" s="2">
        <v>1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Values(1210,'1210','ObjectCode-Label','Object Code',getdate(),getdate(),1)</v>
      </c>
    </row>
    <row r="211" spans="1:6" x14ac:dyDescent="0.25">
      <c r="A211">
        <v>1211</v>
      </c>
      <c r="B211" s="2">
        <v>1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Values(1211,'1211','ObjectPermissionRecord-Label','Object Permission Record',getdate(),getdate(),1)</v>
      </c>
    </row>
    <row r="212" spans="1:6" x14ac:dyDescent="0.25">
      <c r="A212">
        <v>1212</v>
      </c>
      <c r="B212" s="2">
        <v>1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Values(1212,'1212','SaveObjectPermissionButton-Label','Save Object Permission',getdate(),getdate(),1)</v>
      </c>
    </row>
    <row r="213" spans="1:6" x14ac:dyDescent="0.25">
      <c r="A213">
        <v>1213</v>
      </c>
      <c r="B213" s="2">
        <v>1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Values(1213,'1213','SaveObjectPermissionButton-Description','Click here to save Object Permission',getdate(),getdate(),1)</v>
      </c>
    </row>
    <row r="214" spans="1:6" x14ac:dyDescent="0.25">
      <c r="A214">
        <v>1214</v>
      </c>
      <c r="B214" s="2">
        <v>1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Values(1214,'1214','Permission-PageTitle','Permission',getdate(),getdate(),1)</v>
      </c>
    </row>
    <row r="215" spans="1:6" x14ac:dyDescent="0.25">
      <c r="A215">
        <v>1215</v>
      </c>
      <c r="B215" s="2">
        <v>1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Values(1215,'1215','SearchByObjectPermission-Label','By Object Permission',getdate(),getdate(),1)</v>
      </c>
    </row>
    <row r="216" spans="1:6" x14ac:dyDescent="0.25">
      <c r="A216">
        <v>1216</v>
      </c>
      <c r="B216" s="2">
        <v>1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Values(1216,'1216','SearchByRole-Label','By Role',getdate(),getdate(),1)</v>
      </c>
    </row>
    <row r="217" spans="1:6" x14ac:dyDescent="0.25">
      <c r="A217">
        <v>1217</v>
      </c>
      <c r="B217" s="2">
        <v>1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Values(1217,'1217','SearchByUser-Label','By User',getdate(),getdate(),1)</v>
      </c>
    </row>
    <row r="218" spans="1:6" x14ac:dyDescent="0.25">
      <c r="A218">
        <v>1218</v>
      </c>
      <c r="B218" s="2">
        <v>1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Values(1218,'1218','NewPermission-Label','New Permission',getdate(),getdate(),1)</v>
      </c>
    </row>
    <row r="219" spans="1:6" x14ac:dyDescent="0.25">
      <c r="A219">
        <v>1219</v>
      </c>
      <c r="B219" s="2">
        <v>1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Values(1219,'1219','NewPermission-Description','Click here to create new permission',getdate(),getdate(),1)</v>
      </c>
    </row>
    <row r="220" spans="1:6" x14ac:dyDescent="0.25">
      <c r="A220">
        <v>1220</v>
      </c>
      <c r="B220" s="2">
        <v>1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Values(1220,'1220','ObjectName-Label','Object Name',getdate(),getdate(),1)</v>
      </c>
    </row>
    <row r="221" spans="1:6" x14ac:dyDescent="0.25">
      <c r="A221">
        <v>1221</v>
      </c>
      <c r="B221" s="2">
        <v>1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Values(1221,'1221','RoleName-Label','Role Name',getdate(),getdate(),1)</v>
      </c>
    </row>
    <row r="222" spans="1:6" x14ac:dyDescent="0.25">
      <c r="A222">
        <v>1222</v>
      </c>
      <c r="B222" s="2">
        <v>1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Values(1222,'1222','PermissionRecord-Label','Permission Record',getdate(),getdate(),1)</v>
      </c>
    </row>
    <row r="223" spans="1:6" x14ac:dyDescent="0.25">
      <c r="A223">
        <v>1223</v>
      </c>
      <c r="B223" s="2">
        <v>1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Values(1223,'1223','PermissionType-Label','Permission Type',getdate(),getdate(),1)</v>
      </c>
    </row>
    <row r="224" spans="1:6" x14ac:dyDescent="0.25">
      <c r="A224">
        <v>1224</v>
      </c>
      <c r="B224" s="2">
        <v>1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Values(1224,'1224','ReadStatus-Label','Read Status',getdate(),getdate(),1)</v>
      </c>
    </row>
    <row r="225" spans="1:6" x14ac:dyDescent="0.25">
      <c r="A225">
        <v>1225</v>
      </c>
      <c r="B225" s="2">
        <v>1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Values(1225,'1225','SaveStatus-Label','Save Status',getdate(),getdate(),1)</v>
      </c>
    </row>
    <row r="226" spans="1:6" x14ac:dyDescent="0.25">
      <c r="A226">
        <v>1226</v>
      </c>
      <c r="B226" s="2">
        <v>1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Values(1226,'1226','DeleteStatus-Label','Delete Status',getdate(),getdate(),1)</v>
      </c>
    </row>
    <row r="227" spans="1:6" x14ac:dyDescent="0.25">
      <c r="A227">
        <v>1227</v>
      </c>
      <c r="B227" s="2">
        <v>1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Values(1227,'1227','SavePermissionButton-Label','Save Permission',getdate(),getdate(),1)</v>
      </c>
    </row>
    <row r="228" spans="1:6" x14ac:dyDescent="0.25">
      <c r="A228">
        <v>1228</v>
      </c>
      <c r="B228" s="2">
        <v>1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Values(1228,'1228','SavePermissionButton-Description','Click here to save Permission',getdate(),getdate(),1)</v>
      </c>
    </row>
    <row r="229" spans="1:6" x14ac:dyDescent="0.25">
      <c r="A229">
        <v>1229</v>
      </c>
      <c r="B229" s="2">
        <v>1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Values(1229,'1229','Role-PageTitle','Role',getdate(),getdate(),1)</v>
      </c>
    </row>
    <row r="230" spans="1:6" x14ac:dyDescent="0.25">
      <c r="A230">
        <v>1230</v>
      </c>
      <c r="B230" s="2">
        <v>1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Values(1230,'1230','SearchByRoleName-Label','By Role Name',getdate(),getdate(),1)</v>
      </c>
    </row>
    <row r="231" spans="1:6" x14ac:dyDescent="0.25">
      <c r="A231">
        <v>1231</v>
      </c>
      <c r="B231" s="2">
        <v>1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Values(1231,'1231','SearchByRoleName-Description','Search by Role Name',getdate(),getdate(),1)</v>
      </c>
    </row>
    <row r="232" spans="1:6" x14ac:dyDescent="0.25">
      <c r="A232">
        <v>1232</v>
      </c>
      <c r="B232" s="2">
        <v>1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Values(1232,'1232','NewRole-Label','New Role',getdate(),getdate(),1)</v>
      </c>
    </row>
    <row r="233" spans="1:6" x14ac:dyDescent="0.25">
      <c r="A233">
        <v>1233</v>
      </c>
      <c r="B233" s="2">
        <v>1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Values(1233,'1233','NewRole-Description','Click here to create new Role',getdate(),getdate(),1)</v>
      </c>
    </row>
    <row r="234" spans="1:6" x14ac:dyDescent="0.25">
      <c r="A234">
        <v>1234</v>
      </c>
      <c r="B234" s="2">
        <v>1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Values(1234,'1234','RoleName-Label','Role Name',getdate(),getdate(),1)</v>
      </c>
    </row>
    <row r="235" spans="1:6" x14ac:dyDescent="0.25">
      <c r="A235">
        <v>1235</v>
      </c>
      <c r="B235" s="2">
        <v>1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Values(1235,'1235','RoleRecord-Label','Role Record',getdate(),getdate(),1)</v>
      </c>
    </row>
    <row r="236" spans="1:6" x14ac:dyDescent="0.25">
      <c r="A236">
        <v>1236</v>
      </c>
      <c r="B236" s="2">
        <v>1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Values(1236,'1236','SaveRoleButton-Label','Save Role',getdate(),getdate(),1)</v>
      </c>
    </row>
    <row r="237" spans="1:6" x14ac:dyDescent="0.25">
      <c r="A237">
        <v>1237</v>
      </c>
      <c r="B237" s="2">
        <v>1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Values(1237,'1237','SaveRoleButton-Description','Click here to save Role',getdate(),getdate(),1)</v>
      </c>
    </row>
    <row r="238" spans="1:6" x14ac:dyDescent="0.25">
      <c r="A238">
        <v>1238</v>
      </c>
      <c r="B238" s="2">
        <v>1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Values(1238,'1238','SessionLog-PageTitle','Session Log',getdate(),getdate(),1)</v>
      </c>
    </row>
    <row r="239" spans="1:6" x14ac:dyDescent="0.25">
      <c r="A239">
        <v>1239</v>
      </c>
      <c r="B239" s="2">
        <v>1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Values(1239,'1239','SearchByEmail-Description','Search by E-mail',getdate(),getdate(),1)</v>
      </c>
    </row>
    <row r="240" spans="1:6" x14ac:dyDescent="0.25">
      <c r="A240">
        <v>1240</v>
      </c>
      <c r="B240" s="2">
        <v>1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Values(1240,'1240','SearchByDateInterval-Label','By Date Range',getdate(),getdate(),1)</v>
      </c>
    </row>
    <row r="241" spans="1:6" x14ac:dyDescent="0.25">
      <c r="A241">
        <v>1241</v>
      </c>
      <c r="B241" s="2">
        <v>1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Values(1241,'1241','SearchByInicialDate-Label','Start Date',getdate(),getdate(),1)</v>
      </c>
    </row>
    <row r="242" spans="1:6" x14ac:dyDescent="0.25">
      <c r="A242">
        <v>1242</v>
      </c>
      <c r="B242" s="2">
        <v>1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Values(1242,'1242','SearchByFinalDate-Label','End Date',getdate(),getdate(),1)</v>
      </c>
    </row>
    <row r="243" spans="1:6" x14ac:dyDescent="0.25">
      <c r="A243">
        <v>1243</v>
      </c>
      <c r="B243" s="2">
        <v>1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Values(1243,'1243','AccessDate-Label','Access Date',getdate(),getdate(),1)</v>
      </c>
    </row>
    <row r="244" spans="1:6" x14ac:dyDescent="0.25">
      <c r="A244">
        <v>1244</v>
      </c>
      <c r="B244" s="2">
        <v>1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Values(1244,'1244','IP-Label','IP',getdate(),getdate(),1)</v>
      </c>
    </row>
    <row r="245" spans="1:6" x14ac:dyDescent="0.25">
      <c r="A245">
        <v>1245</v>
      </c>
      <c r="B245" s="2">
        <v>1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Values(1245,'1245','SuperAdmin-MenuText','Super Admin',getdate(),getdate(),1)</v>
      </c>
    </row>
    <row r="246" spans="1:6" x14ac:dyDescent="0.25">
      <c r="A246">
        <v>1246</v>
      </c>
      <c r="B246" s="2">
        <v>1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Values(1246,'1246','BasicsData-MenuText','Management',getdate(),getdate(),1)</v>
      </c>
    </row>
    <row r="247" spans="1:6" x14ac:dyDescent="0.25">
      <c r="A247">
        <v>1247</v>
      </c>
      <c r="B247" s="2">
        <v>1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Values(1247,'1247','Monitoring-MenuText','Monitoring',getdate(),getdate(),1)</v>
      </c>
    </row>
    <row r="248" spans="1:6" x14ac:dyDescent="0.25">
      <c r="A248">
        <v>1248</v>
      </c>
      <c r="B248" s="2">
        <v>1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Values(1248,'1248','Instance-MenuText','Instances',getdate(),getdate(),1)</v>
      </c>
    </row>
    <row r="249" spans="1:6" x14ac:dyDescent="0.25">
      <c r="A249">
        <v>1249</v>
      </c>
      <c r="B249" s="2">
        <v>1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Values(1249,'1249','Role-MenuText','Roles',getdate(),getdate(),1)</v>
      </c>
    </row>
    <row r="250" spans="1:6" x14ac:dyDescent="0.25">
      <c r="A250">
        <v>1250</v>
      </c>
      <c r="B250" s="2">
        <v>1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Values(1250,'1250','Users-MenuText','Users',getdate(),getdate(),1)</v>
      </c>
    </row>
    <row r="251" spans="1:6" x14ac:dyDescent="0.25">
      <c r="A251">
        <v>1251</v>
      </c>
      <c r="B251" s="2">
        <v>1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Values(1251,'1251','ObjectPermission-MenuText','Objects Permission',getdate(),getdate(),1)</v>
      </c>
    </row>
    <row r="252" spans="1:6" x14ac:dyDescent="0.25">
      <c r="A252">
        <v>1252</v>
      </c>
      <c r="B252" s="2">
        <v>1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Values(1252,'1252','Permissions-MenuText','Permissions',getdate(),getdate(),1)</v>
      </c>
    </row>
    <row r="253" spans="1:6" x14ac:dyDescent="0.25">
      <c r="A253">
        <v>1253</v>
      </c>
      <c r="B253" s="2">
        <v>1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Values(1253,'1253','Localization-MenuText','Localization Texts',getdate(),getdate(),1)</v>
      </c>
    </row>
    <row r="254" spans="1:6" x14ac:dyDescent="0.25">
      <c r="A254">
        <v>1256</v>
      </c>
      <c r="B254" s="2">
        <v>1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Values(1256,'1256','DataLog-MenuText','Data Log',getdate(),getdate(),1)</v>
      </c>
    </row>
    <row r="255" spans="1:6" x14ac:dyDescent="0.25">
      <c r="A255">
        <v>1257</v>
      </c>
      <c r="B255" s="2">
        <v>1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Values(1257,'1257','SessionLog-MenuText','Session Log',getdate(),getdate(),1)</v>
      </c>
    </row>
    <row r="256" spans="1:6" x14ac:dyDescent="0.25">
      <c r="A256">
        <v>1258</v>
      </c>
      <c r="B256" s="2">
        <v>1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Values(1258,'1258','SearchByGroupParameterName-Label','Group Parameter Name',getdate(),getdate(),1)</v>
      </c>
    </row>
    <row r="257" spans="1:6" x14ac:dyDescent="0.25">
      <c r="A257">
        <v>1259</v>
      </c>
      <c r="B257" s="2">
        <v>1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Values(1259,'1259','SearchByGroupParameterName-Description','Search by Group Parameter Name',getdate(),getdate(),1)</v>
      </c>
    </row>
    <row r="258" spans="1:6" x14ac:dyDescent="0.25">
      <c r="A258">
        <v>1260</v>
      </c>
      <c r="B258" s="2">
        <v>1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321" si="14">"insert into sysLocalizationText Values(" &amp;A258 &amp; "," &amp;C258 &amp; "," &amp; D258 &amp; "," &amp; E258 &amp; ",getdate(),getdate()," &amp; B258 &amp; ")"</f>
        <v>insert into sysLocalizationText Values(1260,'1260','NewGroupParameter-Label','New Group Parameter',getdate(),getdate(),1)</v>
      </c>
    </row>
    <row r="259" spans="1:6" x14ac:dyDescent="0.25">
      <c r="A259">
        <v>1261</v>
      </c>
      <c r="B259" s="2">
        <v>1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Values(1261,'1261','NewGroupParameter-Description','Click here to create new Group Parameter ',getdate(),getdate(),1)</v>
      </c>
    </row>
    <row r="260" spans="1:6" x14ac:dyDescent="0.25">
      <c r="A260">
        <v>1262</v>
      </c>
      <c r="B260" s="2">
        <v>1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Values(1262,'1262','GroupParameterRecord-Label','Group Parameter Record',getdate(),getdate(),1)</v>
      </c>
    </row>
    <row r="261" spans="1:6" x14ac:dyDescent="0.25">
      <c r="A261">
        <v>1263</v>
      </c>
      <c r="B261" s="2">
        <v>1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Values(1263,'1263','GroupParameterName-Label','Group Parameter Name ',getdate(),getdate(),1)</v>
      </c>
    </row>
    <row r="262" spans="1:6" x14ac:dyDescent="0.25">
      <c r="A262">
        <v>1264</v>
      </c>
      <c r="B262" s="2">
        <v>1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Values(1264,'1264','SaveGroupParameterButton-Label','Save Group Parameter',getdate(),getdate(),1)</v>
      </c>
    </row>
    <row r="263" spans="1:6" x14ac:dyDescent="0.25">
      <c r="A263">
        <v>1265</v>
      </c>
      <c r="B263" s="2">
        <v>1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Values(1265,'1265','SaveGroupParameterButton-Description','Click here to save Group Parameter',getdate(),getdate(),1)</v>
      </c>
    </row>
    <row r="264" spans="1:6" x14ac:dyDescent="0.25">
      <c r="A264">
        <v>1266</v>
      </c>
      <c r="B264" s="2">
        <v>1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Values(1266,'1266','GroupParameter-PageTitle','Group Parameters',getdate(),getdate(),1)</v>
      </c>
    </row>
    <row r="265" spans="1:6" x14ac:dyDescent="0.25">
      <c r="A265">
        <v>1267</v>
      </c>
      <c r="B265" s="2">
        <v>1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Values(1267,'1267','SearchByParameterName-Label','Parameter Name',getdate(),getdate(),1)</v>
      </c>
    </row>
    <row r="266" spans="1:6" x14ac:dyDescent="0.25">
      <c r="A266">
        <v>1268</v>
      </c>
      <c r="B266" s="2">
        <v>1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Values(1268,'1268','SearchByParameterName-Description','Search by Parameter Name',getdate(),getdate(),1)</v>
      </c>
    </row>
    <row r="267" spans="1:6" x14ac:dyDescent="0.25">
      <c r="A267">
        <v>1269</v>
      </c>
      <c r="B267" s="2">
        <v>1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Values(1269,'1269','NewParameter-Label','New Parameter',getdate(),getdate(),1)</v>
      </c>
    </row>
    <row r="268" spans="1:6" x14ac:dyDescent="0.25">
      <c r="A268">
        <v>1270</v>
      </c>
      <c r="B268" s="2">
        <v>1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Values(1270,'1270','NewParameter-Description','Click here to create new Parameter ',getdate(),getdate(),1)</v>
      </c>
    </row>
    <row r="269" spans="1:6" x14ac:dyDescent="0.25">
      <c r="A269">
        <v>1271</v>
      </c>
      <c r="B269" s="2">
        <v>1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Values(1271,'1271','ParameterRecord-Label','Parameter Record',getdate(),getdate(),1)</v>
      </c>
    </row>
    <row r="270" spans="1:6" x14ac:dyDescent="0.25">
      <c r="A270">
        <v>1272</v>
      </c>
      <c r="B270" s="2">
        <v>1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Values(1272,'1272','ParameterName-Label','Parameter Name ',getdate(),getdate(),1)</v>
      </c>
    </row>
    <row r="271" spans="1:6" x14ac:dyDescent="0.25">
      <c r="A271">
        <v>1273</v>
      </c>
      <c r="B271" s="2">
        <v>1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Values(1273,'1273','SaveParameterButton-Label','Save Parameter',getdate(),getdate(),1)</v>
      </c>
    </row>
    <row r="272" spans="1:6" x14ac:dyDescent="0.25">
      <c r="A272">
        <v>1274</v>
      </c>
      <c r="B272" s="2">
        <v>1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Values(1274,'1274','SaveParameterButton-Description','Click here to save Parameter',getdate(),getdate(),1)</v>
      </c>
    </row>
    <row r="273" spans="1:6" x14ac:dyDescent="0.25">
      <c r="A273">
        <v>1275</v>
      </c>
      <c r="B273" s="2">
        <v>1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Values(1275,'1275','Parameter-PageTitle','Parameters',getdate(),getdate(),1)</v>
      </c>
    </row>
    <row r="274" spans="1:6" x14ac:dyDescent="0.25">
      <c r="A274">
        <v>1276</v>
      </c>
      <c r="B274" s="2">
        <v>1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Values(1276,'1276','ChangeUserLanguage-Title','ChangeUserLanguage-Title',getdate(),getdate(),1)</v>
      </c>
    </row>
    <row r="275" spans="1:6" x14ac:dyDescent="0.25">
      <c r="A275">
        <v>1277</v>
      </c>
      <c r="B275" s="2">
        <v>1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Values(1277,'1277','ChangeUserLanguage-Message','The User Language has been successfully changed. Log in again.',getdate(),getdate(),1)</v>
      </c>
    </row>
    <row r="276" spans="1:6" x14ac:dyDescent="0.25">
      <c r="A276">
        <v>1278</v>
      </c>
      <c r="B276" s="2">
        <v>1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Values(1278,'1278','ExceptionLog-PageTitle','Exception Log',getdate(),getdate(),1)</v>
      </c>
    </row>
    <row r="277" spans="1:6" x14ac:dyDescent="0.25">
      <c r="A277">
        <v>1279</v>
      </c>
      <c r="B277" s="2">
        <v>1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Values(1279,'1279','SearchByOrgin-Label','Search by Origin',getdate(),getdate(),1)</v>
      </c>
    </row>
    <row r="278" spans="1:6" x14ac:dyDescent="0.25">
      <c r="A278">
        <v>1280</v>
      </c>
      <c r="B278" s="2">
        <v>1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Values(1280,'1280','Origin-Label','Origin',getdate(),getdate(),1)</v>
      </c>
    </row>
    <row r="279" spans="1:6" x14ac:dyDescent="0.25">
      <c r="A279">
        <v>1281</v>
      </c>
      <c r="B279" s="2">
        <v>1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Values(1281,'1281','TargetSite-Label','Target Site',getdate(),getdate(),1)</v>
      </c>
    </row>
    <row r="280" spans="1:6" x14ac:dyDescent="0.25">
      <c r="A280">
        <v>1282</v>
      </c>
      <c r="B280" s="2">
        <v>1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Values(1282,'1282','ErrMessage-Label','Err Message',getdate(),getdate(),1)</v>
      </c>
    </row>
    <row r="281" spans="1:6" x14ac:dyDescent="0.25">
      <c r="A281">
        <v>1283</v>
      </c>
      <c r="B281" s="2">
        <v>1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Values(1283,'1283','StackTrace-Label','Stack Trace',getdate(),getdate(),1)</v>
      </c>
    </row>
    <row r="282" spans="1:6" x14ac:dyDescent="0.25">
      <c r="A282">
        <v>1284</v>
      </c>
      <c r="B282" s="2">
        <v>1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Values(1284,'1284','ClientIP-Label','Client IP',getdate(),getdate(),1)</v>
      </c>
    </row>
    <row r="283" spans="1:6" x14ac:dyDescent="0.25">
      <c r="A283">
        <v>1285</v>
      </c>
      <c r="B283" s="2">
        <v>1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Values(1285,'1285','SearchByConfigName-Label','By Config Name',getdate(),getdate(),1)</v>
      </c>
    </row>
    <row r="284" spans="1:6" x14ac:dyDescent="0.25">
      <c r="A284">
        <v>1286</v>
      </c>
      <c r="B284" s="2">
        <v>1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Values(1286,'1286','SearchByConfigName-Description','Search by Config Name',getdate(),getdate(),1)</v>
      </c>
    </row>
    <row r="285" spans="1:6" x14ac:dyDescent="0.25">
      <c r="A285">
        <v>1287</v>
      </c>
      <c r="B285" s="2">
        <v>1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Values(1287,'1287','NewConfig-Label','New Config',getdate(),getdate(),1)</v>
      </c>
    </row>
    <row r="286" spans="1:6" x14ac:dyDescent="0.25">
      <c r="A286">
        <v>1288</v>
      </c>
      <c r="B286" s="2">
        <v>1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Values(1288,'1288','NewConfig-Description','Click here to create new Config',getdate(),getdate(),1)</v>
      </c>
    </row>
    <row r="287" spans="1:6" x14ac:dyDescent="0.25">
      <c r="A287">
        <v>1289</v>
      </c>
      <c r="B287" s="2">
        <v>1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Values(1289,'1289','ConfigName','Config Name',getdate(),getdate(),1)</v>
      </c>
    </row>
    <row r="288" spans="1:6" x14ac:dyDescent="0.25">
      <c r="A288">
        <v>1290</v>
      </c>
      <c r="B288" s="2">
        <v>1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Values(1290,'1290','ConfigRecord-Label','Config Record',getdate(),getdate(),1)</v>
      </c>
    </row>
    <row r="289" spans="1:6" x14ac:dyDescent="0.25">
      <c r="A289">
        <v>1291</v>
      </c>
      <c r="B289" s="2">
        <v>1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Values(1291,'1291','ConfigName-Label','Config Name',getdate(),getdate(),1)</v>
      </c>
    </row>
    <row r="290" spans="1:6" x14ac:dyDescent="0.25">
      <c r="A290">
        <v>1292</v>
      </c>
      <c r="B290" s="2">
        <v>1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Values(1292,'1292','ConfigValue-Label','Config Value',getdate(),getdate(),1)</v>
      </c>
    </row>
    <row r="291" spans="1:6" x14ac:dyDescent="0.25">
      <c r="A291">
        <v>1293</v>
      </c>
      <c r="B291" s="2">
        <v>1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Values(1293,'1293','ConfigValue','Config Value',getdate(),getdate(),1)</v>
      </c>
    </row>
    <row r="292" spans="1:6" x14ac:dyDescent="0.25">
      <c r="A292">
        <v>1294</v>
      </c>
      <c r="B292" s="2">
        <v>1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Values(1294,'1294','SaveConfigButton-Label','Save Config',getdate(),getdate(),1)</v>
      </c>
    </row>
    <row r="293" spans="1:6" x14ac:dyDescent="0.25">
      <c r="A293">
        <v>1295</v>
      </c>
      <c r="B293" s="2">
        <v>1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Values(1295,'1295','SaveConfigButton-Description','Click here to save Config',getdate(),getdate(),1)</v>
      </c>
    </row>
    <row r="294" spans="1:6" x14ac:dyDescent="0.25">
      <c r="A294">
        <v>1296</v>
      </c>
      <c r="B294" s="2">
        <v>1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si="14"/>
        <v>insert into sysLocalizationText Values(1296,'1296','Configs-PageTitle','Configurations',getdate(),getdate(),1)</v>
      </c>
    </row>
    <row r="295" spans="1:6" x14ac:dyDescent="0.25">
      <c r="A295">
        <v>1297</v>
      </c>
      <c r="B295" s="2">
        <v>1</v>
      </c>
      <c r="C295" t="str">
        <f t="shared" ref="C295" si="28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si="14"/>
        <v>insert into sysLocalizationText Values(1297,'1297','Logout-Label','Logout',getdate(),getdate(),1)</v>
      </c>
    </row>
    <row r="296" spans="1:6" x14ac:dyDescent="0.25">
      <c r="A296">
        <v>1298</v>
      </c>
      <c r="B296" s="2">
        <v>1</v>
      </c>
      <c r="C296" t="str">
        <f t="shared" ref="C296" si="29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si="14"/>
        <v>insert into sysLocalizationText Values(1298,'1298','AlterProfileImage-Description','Drag the file here you wish to upload, or click on buttom above to browse.',getdate(),getdate(),1)</v>
      </c>
    </row>
    <row r="297" spans="1:6" x14ac:dyDescent="0.25">
      <c r="A297">
        <v>1299</v>
      </c>
      <c r="B297" s="2">
        <v>1</v>
      </c>
      <c r="C297" t="str">
        <f t="shared" ref="C297:C311" si="30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4"/>
        <v>insert into sysLocalizationText Values(1299,'1299','Menu-Superadmin','Super Admin',getdate(),getdate(),1)</v>
      </c>
    </row>
    <row r="298" spans="1:6" x14ac:dyDescent="0.25">
      <c r="A298">
        <v>1300</v>
      </c>
      <c r="B298" s="2">
        <v>1</v>
      </c>
      <c r="C298" t="str">
        <f t="shared" si="30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14"/>
        <v>insert into sysLocalizationText Values(1300,'1300','Menu-Configs','Business Configs',getdate(),getdate(),1)</v>
      </c>
    </row>
    <row r="299" spans="1:6" x14ac:dyDescent="0.25">
      <c r="A299">
        <v>1301</v>
      </c>
      <c r="B299" s="2">
        <v>1</v>
      </c>
      <c r="C299" t="str">
        <f t="shared" si="30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14"/>
        <v>insert into sysLocalizationText Values(1301,'1301','Menu-Instance','Instances',getdate(),getdate(),1)</v>
      </c>
    </row>
    <row r="300" spans="1:6" x14ac:dyDescent="0.25">
      <c r="A300">
        <v>1302</v>
      </c>
      <c r="B300" s="2">
        <v>1</v>
      </c>
      <c r="C300" t="str">
        <f t="shared" si="30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4"/>
        <v>insert into sysLocalizationText Values(1302,'1302','Menu-Roles','Roles',getdate(),getdate(),1)</v>
      </c>
    </row>
    <row r="301" spans="1:6" x14ac:dyDescent="0.25">
      <c r="A301">
        <v>1303</v>
      </c>
      <c r="B301" s="2">
        <v>1</v>
      </c>
      <c r="C301" t="str">
        <f t="shared" si="30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14"/>
        <v>insert into sysLocalizationText Values(1303,'1303','Menu-ObjectPermissions','Object Permissions',getdate(),getdate(),1)</v>
      </c>
    </row>
    <row r="302" spans="1:6" x14ac:dyDescent="0.25">
      <c r="A302">
        <v>1304</v>
      </c>
      <c r="B302" s="2">
        <v>1</v>
      </c>
      <c r="C302" t="str">
        <f t="shared" si="30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14"/>
        <v>insert into sysLocalizationText Values(1304,'1304','Menu-Permissions','Permissions',getdate(),getdate(),1)</v>
      </c>
    </row>
    <row r="303" spans="1:6" x14ac:dyDescent="0.25">
      <c r="A303">
        <v>1305</v>
      </c>
      <c r="B303" s="2">
        <v>1</v>
      </c>
      <c r="C303" t="str">
        <f t="shared" si="30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14"/>
        <v>insert into sysLocalizationText Values(1305,'1305','Menu-Users','Users',getdate(),getdate(),1)</v>
      </c>
    </row>
    <row r="304" spans="1:6" x14ac:dyDescent="0.25">
      <c r="A304">
        <v>1306</v>
      </c>
      <c r="B304" s="2">
        <v>1</v>
      </c>
      <c r="C304" t="str">
        <f t="shared" si="30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14"/>
        <v>insert into sysLocalizationText Values(1306,'1306','Menu-LocalizationTexts','Localization Texts',getdate(),getdate(),1)</v>
      </c>
    </row>
    <row r="305" spans="1:6" x14ac:dyDescent="0.25">
      <c r="A305">
        <v>1307</v>
      </c>
      <c r="B305" s="2">
        <v>1</v>
      </c>
      <c r="C305" t="str">
        <f t="shared" si="30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14"/>
        <v>insert into sysLocalizationText Values(1307,'1307','Menu-GroupParameters','Group Parameters',getdate(),getdate(),1)</v>
      </c>
    </row>
    <row r="306" spans="1:6" x14ac:dyDescent="0.25">
      <c r="A306">
        <v>1308</v>
      </c>
      <c r="B306" s="2">
        <v>1</v>
      </c>
      <c r="C306" t="str">
        <f t="shared" si="30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14"/>
        <v>insert into sysLocalizationText Values(1308,'1308','Menu-Parameters','Parameters',getdate(),getdate(),1)</v>
      </c>
    </row>
    <row r="307" spans="1:6" x14ac:dyDescent="0.25">
      <c r="A307">
        <v>1309</v>
      </c>
      <c r="B307" s="2">
        <v>1</v>
      </c>
      <c r="C307" t="str">
        <f t="shared" si="30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14"/>
        <v>insert into sysLocalizationText Values(1309,'1309','Menu-Monitoring','Monitoring',getdate(),getdate(),1)</v>
      </c>
    </row>
    <row r="308" spans="1:6" x14ac:dyDescent="0.25">
      <c r="A308">
        <v>1310</v>
      </c>
      <c r="B308" s="2">
        <v>1</v>
      </c>
      <c r="C308" t="str">
        <f t="shared" si="30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14"/>
        <v>insert into sysLocalizationText Values(1310,'1310','Menu-SessionLog','Session Log',getdate(),getdate(),1)</v>
      </c>
    </row>
    <row r="309" spans="1:6" x14ac:dyDescent="0.25">
      <c r="A309">
        <v>1311</v>
      </c>
      <c r="B309" s="2">
        <v>1</v>
      </c>
      <c r="C309" t="str">
        <f t="shared" si="30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14"/>
        <v>insert into sysLocalizationText Values(1311,'1311','Menu-DataLog','Data Log',getdate(),getdate(),1)</v>
      </c>
    </row>
    <row r="310" spans="1:6" x14ac:dyDescent="0.25">
      <c r="A310">
        <v>1312</v>
      </c>
      <c r="B310" s="2">
        <v>1</v>
      </c>
      <c r="C310" t="str">
        <f t="shared" si="30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14"/>
        <v>insert into sysLocalizationText Values(1312,'1312','Menu-ExceptionLog','Exception Log',getdate(),getdate(),1)</v>
      </c>
    </row>
    <row r="311" spans="1:6" x14ac:dyDescent="0.25">
      <c r="A311">
        <v>1313</v>
      </c>
      <c r="B311" s="2">
        <v>1</v>
      </c>
      <c r="C311" t="str">
        <f t="shared" si="30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si="14"/>
        <v>insert into sysLocalizationText Values(1313,'1313','Editing-Label','Editing',getdate(),getdate(),1)</v>
      </c>
    </row>
    <row r="312" spans="1:6" x14ac:dyDescent="0.25">
      <c r="A312">
        <v>1314</v>
      </c>
      <c r="B312" s="2">
        <v>1</v>
      </c>
      <c r="C312" t="str">
        <f t="shared" ref="C312" si="31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si="14"/>
        <v>insert into sysLocalizationText Values(1314,'1314','Inserting-Label','Inserting',getdate(),getdate(),1)</v>
      </c>
    </row>
    <row r="313" spans="1:6" x14ac:dyDescent="0.25">
      <c r="A313">
        <v>1315</v>
      </c>
      <c r="B313" s="2">
        <v>1</v>
      </c>
      <c r="C313" t="str">
        <f t="shared" ref="C313" si="32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si="14"/>
        <v>insert into sysLocalizationText Values(1315,'1315','RemoveConfirmation-Label','Are you sure to remove this record?',getdate(),getdate(),1)</v>
      </c>
    </row>
    <row r="314" spans="1:6" x14ac:dyDescent="0.25">
      <c r="A314">
        <v>1316</v>
      </c>
      <c r="B314" s="2">
        <v>1</v>
      </c>
      <c r="C314" t="str">
        <f t="shared" ref="C314:C315" si="33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si="14"/>
        <v>insert into sysLocalizationText Values(1316,'1316','RemoveConfirmation-Message','The record was removed successfuly.',getdate(),getdate(),1)</v>
      </c>
    </row>
    <row r="315" spans="1:6" x14ac:dyDescent="0.25">
      <c r="A315">
        <v>1317</v>
      </c>
      <c r="B315" s="2">
        <v>1</v>
      </c>
      <c r="C315" t="str">
        <f t="shared" si="33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14"/>
        <v>insert into sysLocalizationText Values(1317,'1317','AllowRead-Label','Read',getdate(),getdate(),1)</v>
      </c>
    </row>
    <row r="316" spans="1:6" x14ac:dyDescent="0.25">
      <c r="A316">
        <v>1318</v>
      </c>
      <c r="B316" s="2">
        <v>1</v>
      </c>
      <c r="C316" t="str">
        <f t="shared" ref="C316" si="34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si="14"/>
        <v>insert into sysLocalizationText Values(1318,'1318','AllowSave-Label','Save',getdate(),getdate(),1)</v>
      </c>
    </row>
    <row r="317" spans="1:6" x14ac:dyDescent="0.25">
      <c r="A317">
        <v>1319</v>
      </c>
      <c r="B317" s="2">
        <v>1</v>
      </c>
      <c r="C317" t="str">
        <f t="shared" ref="C317:C318" si="35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si="14"/>
        <v>insert into sysLocalizationText Values(1319,'1319','AllowDelete-Label','Delete',getdate(),getdate(),1)</v>
      </c>
    </row>
    <row r="318" spans="1:6" x14ac:dyDescent="0.25">
      <c r="A318">
        <v>1320</v>
      </c>
      <c r="B318" s="2">
        <v>1</v>
      </c>
      <c r="C318" t="str">
        <f t="shared" si="35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14"/>
        <v>insert into sysLocalizationText Values(1320,'1320','InsertOperation-Text','Insert',getdate(),getdate(),1)</v>
      </c>
    </row>
    <row r="319" spans="1:6" x14ac:dyDescent="0.25">
      <c r="A319">
        <v>1321</v>
      </c>
      <c r="B319" s="2">
        <v>1</v>
      </c>
      <c r="C319" t="str">
        <f t="shared" ref="C319:C320" si="3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si="14"/>
        <v>insert into sysLocalizationText Values(1321,'1321','UpdateOperation-Text','Update',getdate(),getdate(),1)</v>
      </c>
    </row>
    <row r="320" spans="1:6" x14ac:dyDescent="0.25">
      <c r="A320">
        <v>1322</v>
      </c>
      <c r="B320" s="2">
        <v>1</v>
      </c>
      <c r="C320" t="str">
        <f t="shared" si="3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14"/>
        <v>insert into sysLocalizationText Values(1322,'1322','DeleteOperation-Text','Delete',getdate(),getdate(),1)</v>
      </c>
    </row>
    <row r="321" spans="1:6" x14ac:dyDescent="0.25">
      <c r="A321">
        <v>1323</v>
      </c>
      <c r="B321" s="2">
        <v>1</v>
      </c>
      <c r="C321" t="str">
        <f t="shared" ref="C321:C327" si="37">"'" &amp; A321 &amp; "'"</f>
        <v>'1323'</v>
      </c>
      <c r="D321" t="str">
        <f>$N$1 &amp; "NewLanguage-Label" &amp; $N$1</f>
        <v>'NewLanguage-Label'</v>
      </c>
      <c r="E321" t="str">
        <f>$N$1 &amp; "New Language" &amp; $N$1</f>
        <v>'New Language'</v>
      </c>
      <c r="F321" t="str">
        <f t="shared" si="14"/>
        <v>insert into sysLocalizationText Values(1323,'1323','NewLanguage-Label','New Language',getdate(),getdate(),1)</v>
      </c>
    </row>
    <row r="322" spans="1:6" x14ac:dyDescent="0.25">
      <c r="A322">
        <v>1324</v>
      </c>
      <c r="B322" s="2">
        <v>1</v>
      </c>
      <c r="C322" t="str">
        <f t="shared" si="37"/>
        <v>'1324'</v>
      </c>
      <c r="D322" t="str">
        <f>$N$1 &amp; "SaveLanguageButton-Label" &amp; $N$1</f>
        <v>'SaveLanguageButton-Label'</v>
      </c>
      <c r="E322" t="str">
        <f>$N$1 &amp; "Save Language" &amp; $N$1</f>
        <v>'Save Language'</v>
      </c>
      <c r="F322" t="str">
        <f t="shared" ref="F322:F327" si="38">"insert into sysLocalizationText Values(" &amp;A322 &amp; "," &amp;C322 &amp; "," &amp; D322 &amp; "," &amp; E322 &amp; ",getdate(),getdate()," &amp; B322 &amp; ")"</f>
        <v>insert into sysLocalizationText Values(1324,'1324','SaveLanguageButton-Label','Save Language',getdate(),getdate(),1)</v>
      </c>
    </row>
    <row r="323" spans="1:6" x14ac:dyDescent="0.25">
      <c r="A323">
        <v>1325</v>
      </c>
      <c r="B323" s="2">
        <v>1</v>
      </c>
      <c r="C323" t="str">
        <f t="shared" si="37"/>
        <v>'1325'</v>
      </c>
      <c r="D323" t="str">
        <f>$N$1 &amp; "SearchByLanguageName-Label" &amp; $N$1</f>
        <v>'SearchByLanguageName-Label'</v>
      </c>
      <c r="E323" t="str">
        <f>$N$1 &amp; "By Language Name" &amp; $N$1</f>
        <v>'By Language Name'</v>
      </c>
      <c r="F323" t="str">
        <f t="shared" si="38"/>
        <v>insert into sysLocalizationText Values(1325,'1325','SearchByLanguageName-Label','By Language Name',getdate(),getdate(),1)</v>
      </c>
    </row>
    <row r="324" spans="1:6" x14ac:dyDescent="0.25">
      <c r="A324">
        <v>1326</v>
      </c>
      <c r="B324" s="2">
        <v>1</v>
      </c>
      <c r="C324" t="str">
        <f t="shared" si="37"/>
        <v>'1326'</v>
      </c>
      <c r="D324" t="str">
        <f>$N$1 &amp; "LanguageName-Label" &amp; $N$1</f>
        <v>'LanguageName-Label'</v>
      </c>
      <c r="E324" t="str">
        <f>$N$1 &amp; "Language Name" &amp; $N$1</f>
        <v>'Language Name'</v>
      </c>
      <c r="F324" t="str">
        <f t="shared" si="38"/>
        <v>insert into sysLocalizationText Values(1326,'1326','LanguageName-Label','Language Name',getdate(),getdate(),1)</v>
      </c>
    </row>
    <row r="325" spans="1:6" x14ac:dyDescent="0.25">
      <c r="A325">
        <v>1327</v>
      </c>
      <c r="B325" s="2">
        <v>1</v>
      </c>
      <c r="C325" t="str">
        <f t="shared" si="37"/>
        <v>'1327'</v>
      </c>
      <c r="D325" t="str">
        <f>$N$1 &amp; "Description-Label" &amp; $N$1</f>
        <v>'Description-Label'</v>
      </c>
      <c r="E325" t="str">
        <f>$N$1 &amp; "Description" &amp; $N$1</f>
        <v>'Description'</v>
      </c>
      <c r="F325" t="str">
        <f t="shared" si="38"/>
        <v>insert into sysLocalizationText Values(1327,'1327','Description-Label','Description',getdate(),getdate(),1)</v>
      </c>
    </row>
    <row r="326" spans="1:6" x14ac:dyDescent="0.25">
      <c r="A326">
        <v>1328</v>
      </c>
      <c r="B326" s="2">
        <v>1</v>
      </c>
      <c r="C326" t="str">
        <f t="shared" si="37"/>
        <v>'1328'</v>
      </c>
      <c r="D326" t="str">
        <f>$N$1 &amp; "Language-PageTitle" &amp; $N$1</f>
        <v>'Language-PageTitle'</v>
      </c>
      <c r="E326" t="str">
        <f>$N$1 &amp; "Language" &amp; $N$1</f>
        <v>'Language'</v>
      </c>
      <c r="F326" t="str">
        <f t="shared" si="38"/>
        <v>insert into sysLocalizationText Values(1328,'1328','Language-PageTitle','Language',getdate(),getdate(),1)</v>
      </c>
    </row>
    <row r="327" spans="1:6" x14ac:dyDescent="0.25">
      <c r="A327">
        <v>1329</v>
      </c>
      <c r="B327" s="2">
        <v>1</v>
      </c>
      <c r="C327" t="str">
        <f t="shared" si="37"/>
        <v>'1329'</v>
      </c>
      <c r="D327" t="str">
        <f>$N$1 &amp; "Menu-Language" &amp; $N$1</f>
        <v>'Menu-Language'</v>
      </c>
      <c r="E327" t="str">
        <f>$N$1 &amp; "Languages" &amp; $N$1</f>
        <v>'Languages'</v>
      </c>
      <c r="F327" t="str">
        <f t="shared" si="38"/>
        <v>insert into sysLocalizationText Values(1329,'1329','Menu-Language','Languages',getdate(),getdate(),1)</v>
      </c>
    </row>
    <row r="328" spans="1:6" x14ac:dyDescent="0.25">
      <c r="A328">
        <v>1330</v>
      </c>
      <c r="B328" s="2">
        <v>1</v>
      </c>
      <c r="C328" t="str">
        <f t="shared" ref="C328:C330" si="39">"'" &amp; A328 &amp; "'"</f>
        <v>'1330'</v>
      </c>
      <c r="D328" t="str">
        <f>$N$1 &amp; "Person-PageTitle" &amp; $N$1</f>
        <v>'Person-PageTitle'</v>
      </c>
      <c r="E328" t="str">
        <f>$N$1 &amp; "Person" &amp; $N$1</f>
        <v>'Person'</v>
      </c>
      <c r="F328" t="str">
        <f t="shared" ref="F328:F330" si="40">"insert into sysLocalizationText Values(" &amp;A328 &amp; "," &amp;C328 &amp; "," &amp; D328 &amp; "," &amp; E328 &amp; ",getdate(),getdate()," &amp; B328 &amp; ")"</f>
        <v>insert into sysLocalizationText Values(1330,'1330','Person-PageTitle','Person',getdate(),getdate(),1)</v>
      </c>
    </row>
    <row r="329" spans="1:6" x14ac:dyDescent="0.25">
      <c r="A329">
        <v>1331</v>
      </c>
      <c r="B329" s="2">
        <v>1</v>
      </c>
      <c r="C329" t="str">
        <f t="shared" ref="C329" si="41">"'" &amp; A329 &amp; "'"</f>
        <v>'1331'</v>
      </c>
      <c r="D329" t="str">
        <f>$N$1 &amp; "Menu-Admin" &amp; $N$1</f>
        <v>'Menu-Admin'</v>
      </c>
      <c r="E329" t="str">
        <f>$N$1 &amp; "Administration" &amp; $N$1</f>
        <v>'Administration'</v>
      </c>
      <c r="F329" t="str">
        <f t="shared" ref="F329" si="42">"insert into sysLocalizationText Values(" &amp;A329 &amp; "," &amp;C329 &amp; "," &amp; D329 &amp; "," &amp; E329 &amp; ",getdate(),getdate()," &amp; B329 &amp; ")"</f>
        <v>insert into sysLocalizationText Values(1331,'1331','Menu-Admin','Administration',getdate(),getdate(),1)</v>
      </c>
    </row>
    <row r="330" spans="1:6" x14ac:dyDescent="0.25">
      <c r="A330">
        <v>1332</v>
      </c>
      <c r="B330" s="2">
        <v>1</v>
      </c>
      <c r="C330" t="str">
        <f t="shared" si="39"/>
        <v>'1332'</v>
      </c>
      <c r="D330" t="str">
        <f>$N$1 &amp; "Menu-Person" &amp; $N$1</f>
        <v>'Menu-Person'</v>
      </c>
      <c r="E330" t="str">
        <f>$N$1 &amp; "Person" &amp; $N$1</f>
        <v>'Person'</v>
      </c>
      <c r="F330" t="str">
        <f t="shared" si="40"/>
        <v>insert into sysLocalizationText Values(1332,'1332','Menu-Person','Person',getdate(),getdate(),1)</v>
      </c>
    </row>
    <row r="331" spans="1:6" x14ac:dyDescent="0.25">
      <c r="A331">
        <v>1333</v>
      </c>
      <c r="B331" s="2">
        <v>1</v>
      </c>
      <c r="C331" t="str">
        <f t="shared" ref="C331:C334" si="43">"'" &amp; A331 &amp; "'"</f>
        <v>'1333'</v>
      </c>
      <c r="D331" t="str">
        <f>$N$1 &amp; "NewPerson-Label" &amp; $N$1</f>
        <v>'NewPerson-Label'</v>
      </c>
      <c r="E331" t="str">
        <f>$N$1 &amp; "New Person" &amp; $N$1</f>
        <v>'New Person'</v>
      </c>
      <c r="F331" t="str">
        <f t="shared" ref="F331:F334" si="44">"insert into sysLocalizationText Values(" &amp;A331 &amp; "," &amp;C331 &amp; "," &amp; D331 &amp; "," &amp; E331 &amp; ",getdate(),getdate()," &amp; B331 &amp; ")"</f>
        <v>insert into sysLocalizationText Values(1333,'1333','NewPerson-Label','New Person',getdate(),getdate(),1)</v>
      </c>
    </row>
    <row r="332" spans="1:6" x14ac:dyDescent="0.25">
      <c r="A332">
        <v>1334</v>
      </c>
      <c r="B332" s="2">
        <v>1</v>
      </c>
      <c r="C332" t="str">
        <f t="shared" si="43"/>
        <v>'1334'</v>
      </c>
      <c r="D332" t="str">
        <f>$N$1 &amp; "SavePersonButton-Label" &amp; $N$1</f>
        <v>'SavePersonButton-Label'</v>
      </c>
      <c r="E332" t="str">
        <f>$N$1 &amp; "Save Person" &amp; $N$1</f>
        <v>'Save Person'</v>
      </c>
      <c r="F332" t="str">
        <f t="shared" si="44"/>
        <v>insert into sysLocalizationText Values(1334,'1334','SavePersonButton-Label','Save Person',getdate(),getdate(),1)</v>
      </c>
    </row>
    <row r="333" spans="1:6" x14ac:dyDescent="0.25">
      <c r="A333">
        <v>1335</v>
      </c>
      <c r="B333" s="2">
        <v>1</v>
      </c>
      <c r="C333" t="str">
        <f t="shared" si="43"/>
        <v>'1335'</v>
      </c>
      <c r="D333" t="str">
        <f>$N$1 &amp; "SearchByPersonName-Label" &amp; $N$1</f>
        <v>'SearchByPersonName-Label'</v>
      </c>
      <c r="E333" t="str">
        <f>$N$1 &amp; "By Person Name" &amp; $N$1</f>
        <v>'By Person Name'</v>
      </c>
      <c r="F333" t="str">
        <f t="shared" si="44"/>
        <v>insert into sysLocalizationText Values(1335,'1335','SearchByPersonName-Label','By Person Name',getdate(),getdate(),1)</v>
      </c>
    </row>
    <row r="334" spans="1:6" x14ac:dyDescent="0.25">
      <c r="A334">
        <v>1336</v>
      </c>
      <c r="B334" s="2">
        <v>1</v>
      </c>
      <c r="C334" t="str">
        <f t="shared" si="43"/>
        <v>'1336'</v>
      </c>
      <c r="D334" t="str">
        <f>$N$1 &amp; "PersonName-Label" &amp; $N$1</f>
        <v>'PersonName-Label'</v>
      </c>
      <c r="E334" t="str">
        <f>$N$1 &amp; "Person Name" &amp; $N$1</f>
        <v>'Person Name'</v>
      </c>
      <c r="F334" t="str">
        <f t="shared" si="44"/>
        <v>insert into sysLocalizationText Values(1336,'1336','PersonName-Label','Person Name',getdate(),getdate(),1)</v>
      </c>
    </row>
    <row r="335" spans="1:6" x14ac:dyDescent="0.25">
      <c r="A335">
        <v>1337</v>
      </c>
      <c r="B335" s="2">
        <v>1</v>
      </c>
      <c r="C335" t="str">
        <f t="shared" ref="C335:C336" si="45">"'" &amp; A335 &amp; "'"</f>
        <v>'1337'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ref="F335:F336" si="46">"insert into sysLocalizationText Values(" &amp;A335 &amp; "," &amp;C335 &amp; "," &amp; D335 &amp; "," &amp; E335 &amp; ",getdate(),getdate()," &amp; B335 &amp; ")"</f>
        <v>insert into sysLocalizationText Values(1337,'1337','PersonEmail-Label','E-mail',getdate(),getdate(),1)</v>
      </c>
    </row>
    <row r="336" spans="1:6" x14ac:dyDescent="0.25">
      <c r="A336">
        <v>1338</v>
      </c>
      <c r="B336" s="2">
        <v>1</v>
      </c>
      <c r="C336" t="str">
        <f t="shared" si="45"/>
        <v>'1338'</v>
      </c>
      <c r="D336" t="str">
        <f>$N$1 &amp; "PhoneNumber-Label" &amp; $N$1</f>
        <v>'PhoneNumber-Label'</v>
      </c>
      <c r="E336" t="str">
        <f>$N$1 &amp; "Phone Number" &amp; $N$1</f>
        <v>'Phone Number'</v>
      </c>
      <c r="F336" t="str">
        <f t="shared" si="46"/>
        <v>insert into sysLocalizationText Values(1338,'1338','PhoneNumber-Label','Phone Number',getdate(),getdate(),1)</v>
      </c>
    </row>
    <row r="337" spans="1:6" x14ac:dyDescent="0.25">
      <c r="A337">
        <v>1339</v>
      </c>
      <c r="B337" s="2">
        <v>1</v>
      </c>
      <c r="C337" t="str">
        <f t="shared" ref="C337:C338" si="47">"'" &amp; A337 &amp; "'"</f>
        <v>'1339'</v>
      </c>
      <c r="D337" t="str">
        <f>$N$1 &amp; "SearchByPersonEmail-Label" &amp; $N$1</f>
        <v>'SearchByPersonEmail-Label'</v>
      </c>
      <c r="E337" t="str">
        <f>$N$1 &amp; "By Person E-mail" &amp; $N$1</f>
        <v>'By Person E-mail'</v>
      </c>
      <c r="F337" t="str">
        <f t="shared" ref="F337:F338" si="48">"insert into sysLocalizationText Values(" &amp;A337 &amp; "," &amp;C337 &amp; "," &amp; D337 &amp; "," &amp; E337 &amp; ",getdate(),getdate()," &amp; B337 &amp; ")"</f>
        <v>insert into sysLocalizationText Values(1339,'1339','SearchByPersonEmail-Label','By Person E-mail',getdate(),getdate(),1)</v>
      </c>
    </row>
    <row r="338" spans="1:6" x14ac:dyDescent="0.25">
      <c r="A338">
        <v>1340</v>
      </c>
      <c r="B338" s="2">
        <v>1</v>
      </c>
      <c r="C338" t="str">
        <f t="shared" si="47"/>
        <v>'1340'</v>
      </c>
      <c r="D338" t="str">
        <f>$N$1 &amp; "Contacts-Title" &amp; $N$1</f>
        <v>'Contacts-Title'</v>
      </c>
      <c r="E338" t="str">
        <f>$N$1 &amp; "Contacts" &amp; $N$1</f>
        <v>'Contacts'</v>
      </c>
      <c r="F338" t="str">
        <f t="shared" si="48"/>
        <v>insert into sysLocalizationText Values(1340,'1340','Contacts-Title','Contacts',getdate(),getdate(),1)</v>
      </c>
    </row>
    <row r="339" spans="1:6" x14ac:dyDescent="0.25">
      <c r="A339">
        <v>1341</v>
      </c>
      <c r="B339" s="2">
        <v>1</v>
      </c>
      <c r="C339" t="str">
        <f t="shared" ref="C339:C342" si="49">"'" &amp; A339 &amp; "'"</f>
        <v>'1341'</v>
      </c>
      <c r="D339" t="str">
        <f>$N$1 &amp; "ContactEditing-Label" &amp; $N$1</f>
        <v>'ContactEditing-Label'</v>
      </c>
      <c r="E339" t="str">
        <f>$N$1 &amp; "Contact Editing" &amp; $N$1</f>
        <v>'Contact Editing'</v>
      </c>
      <c r="F339" t="str">
        <f t="shared" ref="F339:F342" si="50">"insert into sysLocalizationText Values(" &amp;A339 &amp; "," &amp;C339 &amp; "," &amp; D339 &amp; "," &amp; E339 &amp; ",getdate(),getdate()," &amp; B339 &amp; ")"</f>
        <v>insert into sysLocalizationText Values(1341,'1341','ContactEditing-Label','Contact Editing',getdate(),getdate(),1)</v>
      </c>
    </row>
    <row r="340" spans="1:6" x14ac:dyDescent="0.25">
      <c r="A340">
        <v>1342</v>
      </c>
      <c r="B340" s="2">
        <v>1</v>
      </c>
      <c r="C340" t="str">
        <f t="shared" si="49"/>
        <v>'1342'</v>
      </c>
      <c r="D340" t="str">
        <f>$N$1 &amp; "ContactInserting-Label" &amp; $N$1</f>
        <v>'ContactInserting-Label'</v>
      </c>
      <c r="E340" t="str">
        <f>$N$1 &amp; "Contact Inserting" &amp; $N$1</f>
        <v>'Contact Inserting'</v>
      </c>
      <c r="F340" t="str">
        <f t="shared" si="50"/>
        <v>insert into sysLocalizationText Values(1342,'1342','ContactInserting-Label','Contact Inserting',getdate(),getdate(),1)</v>
      </c>
    </row>
    <row r="341" spans="1:6" x14ac:dyDescent="0.25">
      <c r="A341">
        <v>1343</v>
      </c>
      <c r="B341" s="2">
        <v>1</v>
      </c>
      <c r="C341" t="str">
        <f t="shared" si="49"/>
        <v>'1343'</v>
      </c>
      <c r="D341" t="str">
        <f>$N$1 &amp; "ContactName-Label" &amp; $N$1</f>
        <v>'ContactName-Label'</v>
      </c>
      <c r="E341" t="str">
        <f>$N$1 &amp; "Contact Name" &amp; $N$1</f>
        <v>'Contact Name'</v>
      </c>
      <c r="F341" t="str">
        <f t="shared" si="50"/>
        <v>insert into sysLocalizationText Values(1343,'1343','ContactName-Label','Contact Name',getdate(),getdate(),1)</v>
      </c>
    </row>
    <row r="342" spans="1:6" x14ac:dyDescent="0.25">
      <c r="A342">
        <v>1344</v>
      </c>
      <c r="B342" s="2">
        <v>1</v>
      </c>
      <c r="C342" t="str">
        <f t="shared" si="49"/>
        <v>'1344'</v>
      </c>
      <c r="D342" t="str">
        <f>$N$1 &amp; "ContactEmail-Label" &amp; $N$1</f>
        <v>'ContactEmail-Label'</v>
      </c>
      <c r="E342" t="str">
        <f>$N$1 &amp; "Contact E-mail" &amp; $N$1</f>
        <v>'Contact E-mail'</v>
      </c>
      <c r="F342" t="str">
        <f t="shared" si="50"/>
        <v>insert into sysLocalizationText Values(1344,'1344','ContactEmail-Label','Contact E-mail',getdate(),getdate(),1)</v>
      </c>
    </row>
    <row r="343" spans="1:6" x14ac:dyDescent="0.25">
      <c r="A343">
        <v>1345</v>
      </c>
      <c r="B343" s="2">
        <v>1</v>
      </c>
      <c r="C343" t="str">
        <f t="shared" ref="C343:C346" si="51">"'" &amp; A343 &amp; "'"</f>
        <v>'1345'</v>
      </c>
      <c r="D343" t="str">
        <f>$N$1 &amp; "ContactCellPhoneNumber-Label" &amp; $N$1</f>
        <v>'ContactCellPhoneNumber-Label'</v>
      </c>
      <c r="E343" t="str">
        <f>$N$1 &amp; "Cell Phone Number" &amp; $N$1</f>
        <v>'Cell Phone Number'</v>
      </c>
      <c r="F343" t="str">
        <f t="shared" ref="F343:F346" si="52">"insert into sysLocalizationText Values(" &amp;A343 &amp; "," &amp;C343 &amp; "," &amp; D343 &amp; "," &amp; E343 &amp; ",getdate(),getdate()," &amp; B343 &amp; ")"</f>
        <v>insert into sysLocalizationText Values(1345,'1345','ContactCellPhoneNumber-Label','Cell Phone Number',getdate(),getdate(),1)</v>
      </c>
    </row>
    <row r="344" spans="1:6" x14ac:dyDescent="0.25">
      <c r="A344">
        <v>1346</v>
      </c>
      <c r="B344" s="2">
        <v>1</v>
      </c>
      <c r="C344" t="str">
        <f t="shared" si="51"/>
        <v>'1346'</v>
      </c>
      <c r="D344" t="str">
        <f>$N$1 &amp; "SavePersonContactButton-Label" &amp; $N$1</f>
        <v>'SavePersonContactButton-Label'</v>
      </c>
      <c r="E344" t="str">
        <f>$N$1 &amp; "Salve Contact" &amp; $N$1</f>
        <v>'Salve Contact'</v>
      </c>
      <c r="F344" t="str">
        <f t="shared" si="52"/>
        <v>insert into sysLocalizationText Values(1346,'1346','SavePersonContactButton-Label','Salve Contact',getdate(),getdate(),1)</v>
      </c>
    </row>
    <row r="345" spans="1:6" x14ac:dyDescent="0.25">
      <c r="A345">
        <v>1347</v>
      </c>
      <c r="B345" s="2">
        <v>1</v>
      </c>
      <c r="C345" t="str">
        <f t="shared" si="51"/>
        <v>'1347'</v>
      </c>
      <c r="D345" t="str">
        <f>$N$1 &amp; "Keepconnection-Label" &amp; $N$1</f>
        <v>'Keepconnection-Label'</v>
      </c>
      <c r="E345" t="str">
        <f>$N$1 &amp; "Keep connected" &amp; $N$1</f>
        <v>'Keep connected'</v>
      </c>
      <c r="F345" t="str">
        <f t="shared" si="52"/>
        <v>insert into sysLocalizationText Values(1347,'1347','Keepconnection-Label','Keep connected',getdate(),getdate(),1)</v>
      </c>
    </row>
    <row r="346" spans="1:6" x14ac:dyDescent="0.25">
      <c r="A346">
        <v>1348</v>
      </c>
      <c r="B346" s="2">
        <v>1</v>
      </c>
      <c r="C346" t="str">
        <f t="shared" si="51"/>
        <v>'1348'</v>
      </c>
      <c r="D346" t="str">
        <f>$N$1 &amp; "Records-Label" &amp; $N$1</f>
        <v>'Records-Label'</v>
      </c>
      <c r="E346" t="str">
        <f>$N$1 &amp; "Records" &amp; $N$1</f>
        <v>'Records'</v>
      </c>
      <c r="F346" t="str">
        <f t="shared" si="52"/>
        <v>insert into sysLocalizationText Values(1348,'1348','Records-Label','Records',getdate(),getdate(),1)</v>
      </c>
    </row>
    <row r="347" spans="1:6" x14ac:dyDescent="0.25">
      <c r="A347">
        <v>1349</v>
      </c>
      <c r="B347" s="2">
        <v>1</v>
      </c>
      <c r="C347" t="str">
        <f t="shared" ref="C347:C355" si="53">"'" &amp; A347 &amp; "'"</f>
        <v>'1349'</v>
      </c>
      <c r="D347" t="str">
        <f>$N$1 &amp; "Page-Label" &amp; $N$1</f>
        <v>'Page-Label'</v>
      </c>
      <c r="E347" t="str">
        <f>$N$1 &amp; "Page" &amp; $N$1</f>
        <v>'Page'</v>
      </c>
      <c r="F347" t="str">
        <f t="shared" ref="F347:F355" si="54">"insert into sysLocalizationText Values(" &amp;A347 &amp; "," &amp;C347 &amp; "," &amp; D347 &amp; "," &amp; E347 &amp; ",getdate(),getdate()," &amp; B347 &amp; ")"</f>
        <v>insert into sysLocalizationText Values(1349,'1349','Page-Label','Page',getdate(),getdate(),1)</v>
      </c>
    </row>
    <row r="348" spans="1:6" x14ac:dyDescent="0.25">
      <c r="A348">
        <v>1350</v>
      </c>
      <c r="B348" s="2">
        <v>1</v>
      </c>
      <c r="C348" t="str">
        <f t="shared" si="53"/>
        <v>'1350'</v>
      </c>
      <c r="D348" t="str">
        <f>$N$1 &amp; "PaginationConfigs-Title" &amp; $N$1</f>
        <v>'PaginationConfigs-Title'</v>
      </c>
      <c r="E348" t="str">
        <f>$N$1 &amp; "Pagination Configuration" &amp; $N$1</f>
        <v>'Pagination Configuration'</v>
      </c>
      <c r="F348" t="str">
        <f t="shared" si="54"/>
        <v>insert into sysLocalizationText Values(1350,'1350','PaginationConfigs-Title','Pagination Configuration',getdate(),getdate(),1)</v>
      </c>
    </row>
    <row r="349" spans="1:6" x14ac:dyDescent="0.25">
      <c r="A349">
        <v>1351</v>
      </c>
      <c r="B349" s="2">
        <v>1</v>
      </c>
      <c r="C349" t="str">
        <f t="shared" si="53"/>
        <v>'1351'</v>
      </c>
      <c r="D349" t="str">
        <f>$N$1 &amp; "SelectRecordsPerPage-Title" &amp; $N$1</f>
        <v>'SelectRecordsPerPage-Title'</v>
      </c>
      <c r="E349" t="str">
        <f>$N$1 &amp; "Records Per Page" &amp; $N$1</f>
        <v>'Records Per Page'</v>
      </c>
      <c r="F349" t="str">
        <f t="shared" si="54"/>
        <v>insert into sysLocalizationText Values(1351,'1351','SelectRecordsPerPage-Title','Records Per Page',getdate(),getdate(),1)</v>
      </c>
    </row>
    <row r="350" spans="1:6" x14ac:dyDescent="0.25">
      <c r="A350">
        <v>1352</v>
      </c>
      <c r="B350" s="2">
        <v>1</v>
      </c>
      <c r="C350" t="str">
        <f t="shared" si="53"/>
        <v>'1352'</v>
      </c>
      <c r="D350" t="str">
        <f>$N$1 &amp; "SelectPage-Title" &amp; $N$1</f>
        <v>'SelectPage-Title'</v>
      </c>
      <c r="E350" t="str">
        <f>$N$1 &amp; "Select the page" &amp; $N$1</f>
        <v>'Select the page'</v>
      </c>
      <c r="F350" t="str">
        <f t="shared" si="54"/>
        <v>insert into sysLocalizationText Values(1352,'1352','SelectPage-Title','Select the page',getdate(),getdate(),1)</v>
      </c>
    </row>
    <row r="351" spans="1:6" x14ac:dyDescent="0.25">
      <c r="A351">
        <v>1353</v>
      </c>
      <c r="B351" s="2">
        <v>1</v>
      </c>
      <c r="C351" t="str">
        <f t="shared" si="53"/>
        <v>'1353'</v>
      </c>
      <c r="D351" t="str">
        <f>$N$1 &amp; "Messagebox-Confirmation-Title" &amp; $N$1</f>
        <v>'Messagebox-Confirmation-Title'</v>
      </c>
      <c r="E351" t="str">
        <f>$N$1 &amp; "Confirmation" &amp; $N$1</f>
        <v>'Confirmation'</v>
      </c>
      <c r="F351" t="str">
        <f t="shared" si="54"/>
        <v>insert into sysLocalizationText Values(1353,'1353','Messagebox-Confirmation-Title','Confirmation',getdate(),getdate(),1)</v>
      </c>
    </row>
    <row r="352" spans="1:6" x14ac:dyDescent="0.25">
      <c r="A352">
        <v>1354</v>
      </c>
      <c r="B352" s="2">
        <v>1</v>
      </c>
      <c r="C352" t="str">
        <f t="shared" si="53"/>
        <v>'1354'</v>
      </c>
      <c r="D352" t="str">
        <f t="shared" ref="D351:E355" si="55">$N$1 &amp; "" &amp; $N$1</f>
        <v>''</v>
      </c>
      <c r="E352" t="str">
        <f t="shared" si="55"/>
        <v>''</v>
      </c>
      <c r="F352" t="str">
        <f t="shared" si="54"/>
        <v>insert into sysLocalizationText Values(1354,'1354','','',getdate(),getdate(),1)</v>
      </c>
    </row>
    <row r="353" spans="1:6" x14ac:dyDescent="0.25">
      <c r="A353">
        <v>1355</v>
      </c>
      <c r="B353" s="2">
        <v>1</v>
      </c>
      <c r="C353" t="str">
        <f t="shared" si="53"/>
        <v>'1355'</v>
      </c>
      <c r="D353" t="str">
        <f t="shared" si="55"/>
        <v>''</v>
      </c>
      <c r="E353" t="str">
        <f t="shared" si="55"/>
        <v>''</v>
      </c>
      <c r="F353" t="str">
        <f t="shared" si="54"/>
        <v>insert into sysLocalizationText Values(1355,'1355','','',getdate(),getdate(),1)</v>
      </c>
    </row>
    <row r="354" spans="1:6" x14ac:dyDescent="0.25">
      <c r="A354">
        <v>1356</v>
      </c>
      <c r="B354" s="2">
        <v>1</v>
      </c>
      <c r="C354" t="str">
        <f t="shared" si="53"/>
        <v>'1356'</v>
      </c>
      <c r="D354" t="str">
        <f t="shared" si="55"/>
        <v>''</v>
      </c>
      <c r="E354" t="str">
        <f t="shared" si="55"/>
        <v>''</v>
      </c>
      <c r="F354" t="str">
        <f t="shared" si="54"/>
        <v>insert into sysLocalizationText Values(1356,'1356','','',getdate(),getdate(),1)</v>
      </c>
    </row>
    <row r="355" spans="1:6" x14ac:dyDescent="0.25">
      <c r="A355">
        <v>1357</v>
      </c>
      <c r="B355" s="2">
        <v>1</v>
      </c>
      <c r="C355" t="str">
        <f t="shared" si="53"/>
        <v>'1357'</v>
      </c>
      <c r="D355" t="str">
        <f t="shared" si="55"/>
        <v>''</v>
      </c>
      <c r="E355" t="str">
        <f t="shared" si="55"/>
        <v>''</v>
      </c>
      <c r="F355" t="str">
        <f t="shared" si="54"/>
        <v>insert into sysLocalizationText Values(1357,'1357','','',getdate(),getdate(),1)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5"/>
  <sheetViews>
    <sheetView tabSelected="1" topLeftCell="A330" workbookViewId="0">
      <selection activeCell="D352" sqref="D352"/>
    </sheetView>
  </sheetViews>
  <sheetFormatPr defaultRowHeight="15" x14ac:dyDescent="0.25"/>
  <cols>
    <col min="2" max="2" width="13.140625" style="2" customWidth="1"/>
    <col min="4" max="4" width="39.5703125" customWidth="1"/>
    <col min="5" max="5" width="42.5703125" customWidth="1"/>
    <col min="6" max="6" width="60.42578125" customWidth="1"/>
  </cols>
  <sheetData>
    <row r="1" spans="1:14" x14ac:dyDescent="0.25">
      <c r="A1">
        <v>2001</v>
      </c>
      <c r="B1" s="2">
        <v>2</v>
      </c>
      <c r="C1" t="str">
        <f>"'" &amp; A1 &amp; "'"</f>
        <v>'2001'</v>
      </c>
      <c r="D1" t="s">
        <v>0</v>
      </c>
      <c r="E1" t="s">
        <v>96</v>
      </c>
      <c r="F1" t="str">
        <f>"insert into sysLocalizationText Values(" &amp;A1 &amp; "," &amp;C1 &amp; "," &amp; D1 &amp; "," &amp; E1 &amp; ",getdate(),getdate()," &amp; B1 &amp; ")"</f>
        <v>insert into sysLocalizationText Values(2001,'2001',     'Execution-Error',    'Erro de execução ',getdate(),getdate(),2)</v>
      </c>
      <c r="N1" t="str">
        <f>"'"</f>
        <v>'</v>
      </c>
    </row>
    <row r="2" spans="1:14" x14ac:dyDescent="0.25">
      <c r="A2">
        <v>2002</v>
      </c>
      <c r="B2" s="2">
        <v>2</v>
      </c>
      <c r="C2" t="str">
        <f t="shared" ref="C2:C65" si="0">"'" &amp; A2 &amp; "'"</f>
        <v>'2002'</v>
      </c>
      <c r="D2" t="s">
        <v>2</v>
      </c>
      <c r="E2" t="s">
        <v>97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Values(2002,'2002',     'Validation-Error',    'Erro na validação de dados.',getdate(),getdate(),2)</v>
      </c>
    </row>
    <row r="3" spans="1:14" x14ac:dyDescent="0.25">
      <c r="A3">
        <v>2003</v>
      </c>
      <c r="B3" s="2">
        <v>2</v>
      </c>
      <c r="C3" t="str">
        <f t="shared" si="0"/>
        <v>'2003'</v>
      </c>
      <c r="D3" t="s">
        <v>4</v>
      </c>
      <c r="E3" t="s">
        <v>98</v>
      </c>
      <c r="F3" t="str">
        <f t="shared" si="1"/>
        <v>insert into sysLocalizationText Values(2003,'2003',     'Record-NotFound',    'O registro solicitado não foi encontrado.',getdate(),getdate(),2)</v>
      </c>
    </row>
    <row r="4" spans="1:14" x14ac:dyDescent="0.25">
      <c r="A4">
        <v>2004</v>
      </c>
      <c r="B4" s="2">
        <v>2</v>
      </c>
      <c r="C4" t="str">
        <f t="shared" si="0"/>
        <v>'2004'</v>
      </c>
      <c r="D4" t="s">
        <v>6</v>
      </c>
      <c r="E4" t="s">
        <v>149</v>
      </c>
      <c r="F4" t="str">
        <f t="shared" si="1"/>
        <v>insert into sysLocalizationText Values(2004,'2004',     'Login-Invalid-Password',    'Senha inválida. Você ainda tem {0} tentativas antes da conta ser desativada.',getdate(),getdate(),2)</v>
      </c>
    </row>
    <row r="5" spans="1:14" x14ac:dyDescent="0.25">
      <c r="A5">
        <v>2005</v>
      </c>
      <c r="B5" s="2">
        <v>2</v>
      </c>
      <c r="C5" t="str">
        <f t="shared" si="0"/>
        <v>'2005'</v>
      </c>
      <c r="D5" t="s">
        <v>8</v>
      </c>
      <c r="E5" t="s">
        <v>99</v>
      </c>
      <c r="F5" t="str">
        <f t="shared" si="1"/>
        <v>insert into sysLocalizationText Values(2005,'2005',     'Login-Attempts',    'Você já utilizou as tentativas de acesso e a conta foi desativada. Solicite a ativação.',getdate(),getdate(),2)</v>
      </c>
    </row>
    <row r="6" spans="1:14" x14ac:dyDescent="0.25">
      <c r="A6">
        <v>2006</v>
      </c>
      <c r="B6" s="2">
        <v>2</v>
      </c>
      <c r="C6" t="str">
        <f t="shared" si="0"/>
        <v>'2006'</v>
      </c>
      <c r="D6" t="s">
        <v>10</v>
      </c>
      <c r="E6" t="s">
        <v>100</v>
      </c>
      <c r="F6" t="str">
        <f t="shared" si="1"/>
        <v>insert into sysLocalizationText Values(2006,'2006',     'Login-Inactive-Account',    'A conta associada ao Usuário não está ativa. Solicite a ativação da conta.',getdate(),getdate(),2)</v>
      </c>
    </row>
    <row r="7" spans="1:14" x14ac:dyDescent="0.25">
      <c r="A7">
        <v>2007</v>
      </c>
      <c r="B7" s="2">
        <v>2</v>
      </c>
      <c r="C7" t="str">
        <f t="shared" si="0"/>
        <v>'2007'</v>
      </c>
      <c r="D7" t="s">
        <v>12</v>
      </c>
      <c r="E7" t="s">
        <v>101</v>
      </c>
      <c r="F7" t="str">
        <f t="shared" si="1"/>
        <v>insert into sysLocalizationText Values(2007,'2007',     'Login-Locked-Account',    'A conta associada ao Usuário está bloqueada. Contate o administrador do sistema.',getdate(),getdate(),2)</v>
      </c>
    </row>
    <row r="8" spans="1:14" x14ac:dyDescent="0.25">
      <c r="A8">
        <v>2008</v>
      </c>
      <c r="B8" s="2">
        <v>2</v>
      </c>
      <c r="C8" t="str">
        <f t="shared" si="0"/>
        <v>'2008'</v>
      </c>
      <c r="D8" t="s">
        <v>14</v>
      </c>
      <c r="E8" t="s">
        <v>102</v>
      </c>
      <c r="F8" t="str">
        <f t="shared" si="1"/>
        <v>insert into sysLocalizationText Values(2008,'2008',     'Login-User-NotFound',    'Usuário não encontrado.',getdate(),getdate(),2)</v>
      </c>
    </row>
    <row r="9" spans="1:14" x14ac:dyDescent="0.25">
      <c r="A9">
        <v>2009</v>
      </c>
      <c r="B9" s="2">
        <v>2</v>
      </c>
      <c r="C9" t="str">
        <f t="shared" si="0"/>
        <v>'2009'</v>
      </c>
      <c r="D9" t="s">
        <v>16</v>
      </c>
      <c r="E9" t="s">
        <v>103</v>
      </c>
      <c r="F9" t="str">
        <f t="shared" si="1"/>
        <v>insert into sysLocalizationText Values(2009,'2009',     'User-Exists',    'Já existe um usuário com o e-mail ',getdate(),getdate(),2)</v>
      </c>
    </row>
    <row r="10" spans="1:14" x14ac:dyDescent="0.25">
      <c r="A10">
        <v>2010</v>
      </c>
      <c r="B10" s="2">
        <v>2</v>
      </c>
      <c r="C10" t="str">
        <f t="shared" si="0"/>
        <v>'2010'</v>
      </c>
      <c r="D10" t="s">
        <v>18</v>
      </c>
      <c r="E10" t="s">
        <v>104</v>
      </c>
      <c r="F10" t="str">
        <f t="shared" si="1"/>
        <v>insert into sysLocalizationText Values(2010,'2010',     'Email-Exists',    'O e-mail informado já existe.',getdate(),getdate(),2)</v>
      </c>
    </row>
    <row r="11" spans="1:14" x14ac:dyDescent="0.25">
      <c r="A11">
        <v>2011</v>
      </c>
      <c r="B11" s="2">
        <v>2</v>
      </c>
      <c r="C11" t="str">
        <f t="shared" si="0"/>
        <v>'2011'</v>
      </c>
      <c r="D11" t="s">
        <v>20</v>
      </c>
      <c r="E11" t="s">
        <v>105</v>
      </c>
      <c r="F11" t="str">
        <f t="shared" si="1"/>
        <v>insert into sysLocalizationText Values(2011,'2011',     'Profile-NotBe-Null',    'O Perfil não pode ser nulo.',getdate(),getdate(),2)</v>
      </c>
    </row>
    <row r="12" spans="1:14" x14ac:dyDescent="0.25">
      <c r="A12">
        <v>2012</v>
      </c>
      <c r="B12" s="2">
        <v>2</v>
      </c>
      <c r="C12" t="str">
        <f t="shared" si="0"/>
        <v>'2012'</v>
      </c>
      <c r="D12" t="s">
        <v>22</v>
      </c>
      <c r="E12" t="s">
        <v>106</v>
      </c>
      <c r="F12" t="str">
        <f t="shared" si="1"/>
        <v>insert into sysLocalizationText Values(2012,'2012',     'User-Error-Exclude-Childs',    'Houve um erro ao excluir os itens filhos (Roles).',getdate(),getdate(),2)</v>
      </c>
    </row>
    <row r="13" spans="1:14" x14ac:dyDescent="0.25">
      <c r="A13">
        <v>2013</v>
      </c>
      <c r="B13" s="2">
        <v>2</v>
      </c>
      <c r="C13" t="str">
        <f t="shared" si="0"/>
        <v>'2013'</v>
      </c>
      <c r="D13" t="s">
        <v>24</v>
      </c>
      <c r="E13" t="s">
        <v>107</v>
      </c>
      <c r="F13" t="str">
        <f t="shared" si="1"/>
        <v>insert into sysLocalizationText Values(2013,'2013',     'User-Invalid-Password-Code',    'O código de autorização de troca de senha é inválido.',getdate(),getdate(),2)</v>
      </c>
    </row>
    <row r="14" spans="1:14" x14ac:dyDescent="0.25">
      <c r="A14">
        <v>2014</v>
      </c>
      <c r="B14" s="2">
        <v>2</v>
      </c>
      <c r="C14" t="str">
        <f t="shared" si="0"/>
        <v>'2014'</v>
      </c>
      <c r="D14" t="s">
        <v>26</v>
      </c>
      <c r="E14" t="s">
        <v>108</v>
      </c>
      <c r="F14" t="str">
        <f t="shared" si="1"/>
        <v>insert into sysLocalizationText Values(2014,'2014',     'Account-Active',    'A conta associada ao Usuário já está ativa.',getdate(),getdate(),2)</v>
      </c>
    </row>
    <row r="15" spans="1:14" x14ac:dyDescent="0.25">
      <c r="A15">
        <v>2015</v>
      </c>
      <c r="B15" s="2">
        <v>2</v>
      </c>
      <c r="C15" t="str">
        <f t="shared" si="0"/>
        <v>'2015'</v>
      </c>
      <c r="D15" t="s">
        <v>28</v>
      </c>
      <c r="E15" t="s">
        <v>109</v>
      </c>
      <c r="F15" t="str">
        <f t="shared" si="1"/>
        <v>insert into sysLocalizationText Values(2015,'2015',     'User-Invalid-Activation-Code',    'O código de autorização de ativação é inválido.',getdate(),getdate(),2)</v>
      </c>
    </row>
    <row r="16" spans="1:14" x14ac:dyDescent="0.25">
      <c r="A16">
        <v>2016</v>
      </c>
      <c r="B16" s="2">
        <v>2</v>
      </c>
      <c r="C16" t="str">
        <f t="shared" si="0"/>
        <v>'2016'</v>
      </c>
      <c r="D16" t="s">
        <v>30</v>
      </c>
      <c r="E16" t="s">
        <v>110</v>
      </c>
      <c r="F16" t="str">
        <f t="shared" si="1"/>
        <v>insert into sysLocalizationText Values(2016,'2016',     'User-No-Image',    'Envie o arquivo da imagem.',getdate(),getdate(),2)</v>
      </c>
    </row>
    <row r="17" spans="1:6" x14ac:dyDescent="0.25">
      <c r="A17">
        <v>2017</v>
      </c>
      <c r="B17" s="2">
        <v>2</v>
      </c>
      <c r="C17" t="str">
        <f t="shared" si="0"/>
        <v>'2017'</v>
      </c>
      <c r="D17" t="s">
        <v>32</v>
      </c>
      <c r="E17" t="s">
        <v>111</v>
      </c>
      <c r="F17" t="str">
        <f t="shared" si="1"/>
        <v>insert into sysLocalizationText Values(2017,'2017',     'User-Role-Exists',    'Esta Role já está associada ao usuário.',getdate(),getdate(),2)</v>
      </c>
    </row>
    <row r="18" spans="1:6" x14ac:dyDescent="0.25">
      <c r="A18">
        <v>2018</v>
      </c>
      <c r="B18" s="2">
        <v>2</v>
      </c>
      <c r="C18" t="str">
        <f t="shared" si="0"/>
        <v>'2018'</v>
      </c>
      <c r="D18" t="s">
        <v>34</v>
      </c>
      <c r="E18" t="s">
        <v>112</v>
      </c>
      <c r="F18" t="str">
        <f t="shared" si="1"/>
        <v>insert into sysLocalizationText Values(2018,'2018',     'User-Role-No-Exists',    'Esta Role não pertence ao usuário.',getdate(),getdate(),2)</v>
      </c>
    </row>
    <row r="19" spans="1:6" x14ac:dyDescent="0.25">
      <c r="A19">
        <v>2019</v>
      </c>
      <c r="B19" s="2">
        <v>2</v>
      </c>
      <c r="C19" t="str">
        <f t="shared" si="0"/>
        <v>'2019'</v>
      </c>
      <c r="D19" t="s">
        <v>36</v>
      </c>
      <c r="E19" t="s">
        <v>113</v>
      </c>
      <c r="F19" t="str">
        <f t="shared" si="1"/>
        <v>insert into sysLocalizationText Values(2019,'2019',     'Http-Unauthorized',    'Acesso não autorizado',getdate(),getdate(),2)</v>
      </c>
    </row>
    <row r="20" spans="1:6" x14ac:dyDescent="0.25">
      <c r="A20">
        <v>2020</v>
      </c>
      <c r="B20" s="2">
        <v>2</v>
      </c>
      <c r="C20" t="str">
        <f t="shared" si="0"/>
        <v>'2020'</v>
      </c>
      <c r="D20" t="s">
        <v>38</v>
      </c>
      <c r="E20" t="s">
        <v>114</v>
      </c>
      <c r="F20" t="str">
        <f t="shared" si="1"/>
        <v>insert into sysLocalizationText Values(2020,'2020',     'Http-NotFound',    'O recurso não foi encontrado',getdate(),getdate(),2)</v>
      </c>
    </row>
    <row r="21" spans="1:6" x14ac:dyDescent="0.25">
      <c r="A21">
        <v>2021</v>
      </c>
      <c r="B21" s="2">
        <v>2</v>
      </c>
      <c r="C21" t="str">
        <f t="shared" si="0"/>
        <v>'2021'</v>
      </c>
      <c r="D21" t="s">
        <v>40</v>
      </c>
      <c r="E21" t="s">
        <v>115</v>
      </c>
      <c r="F21" t="str">
        <f t="shared" si="1"/>
        <v>insert into sysLocalizationText Values(2021,'2021',     'Http-Forbidden',    'Perfil do usuário sem permissão de acesso',getdate(),getdate(),2)</v>
      </c>
    </row>
    <row r="22" spans="1:6" x14ac:dyDescent="0.25">
      <c r="A22">
        <v>2022</v>
      </c>
      <c r="B22" s="2">
        <v>2</v>
      </c>
      <c r="C22" t="str">
        <f t="shared" si="0"/>
        <v>'2022'</v>
      </c>
      <c r="D22" t="s">
        <v>42</v>
      </c>
      <c r="E22" t="s">
        <v>116</v>
      </c>
      <c r="F22" t="str">
        <f t="shared" si="1"/>
        <v>insert into sysLocalizationText Values(2022,'2022',     'Http-500Error',    'Ocorreu um erro no processamento da requisição.',getdate(),getdate(),2)</v>
      </c>
    </row>
    <row r="23" spans="1:6" x14ac:dyDescent="0.25">
      <c r="A23">
        <v>2023</v>
      </c>
      <c r="B23" s="2">
        <v>2</v>
      </c>
      <c r="C23" t="str">
        <f t="shared" si="0"/>
        <v>'2023'</v>
      </c>
      <c r="D23" t="s">
        <v>44</v>
      </c>
      <c r="E23" t="s">
        <v>117</v>
      </c>
      <c r="F23" t="str">
        <f t="shared" si="1"/>
        <v>insert into sysLocalizationText Values(2023,'2023',     'Http-ServiceUnavailable',    'O serviço solicitado está indisponível.',getdate(),getdate(),2)</v>
      </c>
    </row>
    <row r="24" spans="1:6" x14ac:dyDescent="0.25">
      <c r="A24">
        <v>2024</v>
      </c>
      <c r="B24" s="2">
        <v>2</v>
      </c>
      <c r="C24" t="str">
        <f t="shared" si="0"/>
        <v>'2024'</v>
      </c>
      <c r="D24" t="s">
        <v>46</v>
      </c>
      <c r="E24" t="s">
        <v>118</v>
      </c>
      <c r="F24" t="str">
        <f t="shared" si="1"/>
        <v>insert into sysLocalizationText Values(2024,'2024',     'API-Unexpected-Exception',    'Erro inesperado não identificado GetInnerExceptions@f2]',getdate(),getdate(),2)</v>
      </c>
    </row>
    <row r="25" spans="1:6" x14ac:dyDescent="0.25">
      <c r="A25">
        <v>2025</v>
      </c>
      <c r="B25" s="2">
        <v>2</v>
      </c>
      <c r="C25" t="str">
        <f t="shared" si="0"/>
        <v>'2025'</v>
      </c>
      <c r="D25" t="s">
        <v>48</v>
      </c>
      <c r="E25" t="s">
        <v>119</v>
      </c>
      <c r="F25" t="str">
        <f t="shared" si="1"/>
        <v>insert into sysLocalizationText Values(2025,'2025',     'ShortDayName-1',    'Dom',getdate(),getdate(),2)</v>
      </c>
    </row>
    <row r="26" spans="1:6" x14ac:dyDescent="0.25">
      <c r="A26">
        <v>2026</v>
      </c>
      <c r="B26" s="2">
        <v>2</v>
      </c>
      <c r="C26" t="str">
        <f t="shared" si="0"/>
        <v>'2026'</v>
      </c>
      <c r="D26" t="s">
        <v>50</v>
      </c>
      <c r="E26" t="s">
        <v>120</v>
      </c>
      <c r="F26" t="str">
        <f t="shared" si="1"/>
        <v>insert into sysLocalizationText Values(2026,'2026',     'ShortDayName-2',    'Seg',getdate(),getdate(),2)</v>
      </c>
    </row>
    <row r="27" spans="1:6" x14ac:dyDescent="0.25">
      <c r="A27">
        <v>2027</v>
      </c>
      <c r="B27" s="2">
        <v>2</v>
      </c>
      <c r="C27" t="str">
        <f t="shared" si="0"/>
        <v>'2027'</v>
      </c>
      <c r="D27" t="s">
        <v>52</v>
      </c>
      <c r="E27" t="s">
        <v>121</v>
      </c>
      <c r="F27" t="str">
        <f t="shared" si="1"/>
        <v>insert into sysLocalizationText Values(2027,'2027',     'ShortDayName-3',    'Ter',getdate(),getdate(),2)</v>
      </c>
    </row>
    <row r="28" spans="1:6" x14ac:dyDescent="0.25">
      <c r="A28">
        <v>2028</v>
      </c>
      <c r="B28" s="2">
        <v>2</v>
      </c>
      <c r="C28" t="str">
        <f t="shared" si="0"/>
        <v>'2028'</v>
      </c>
      <c r="D28" t="s">
        <v>54</v>
      </c>
      <c r="E28" t="s">
        <v>122</v>
      </c>
      <c r="F28" t="str">
        <f t="shared" si="1"/>
        <v>insert into sysLocalizationText Values(2028,'2028',     'ShortDayName-4',    'Qua',getdate(),getdate(),2)</v>
      </c>
    </row>
    <row r="29" spans="1:6" x14ac:dyDescent="0.25">
      <c r="A29">
        <v>2029</v>
      </c>
      <c r="B29" s="2">
        <v>2</v>
      </c>
      <c r="C29" t="str">
        <f t="shared" si="0"/>
        <v>'2029'</v>
      </c>
      <c r="D29" t="s">
        <v>56</v>
      </c>
      <c r="E29" t="s">
        <v>123</v>
      </c>
      <c r="F29" t="str">
        <f t="shared" si="1"/>
        <v>insert into sysLocalizationText Values(2029,'2029',     'ShortDayName-5',    'Qui',getdate(),getdate(),2)</v>
      </c>
    </row>
    <row r="30" spans="1:6" x14ac:dyDescent="0.25">
      <c r="A30">
        <v>2030</v>
      </c>
      <c r="B30" s="2">
        <v>2</v>
      </c>
      <c r="C30" t="str">
        <f t="shared" si="0"/>
        <v>'2030'</v>
      </c>
      <c r="D30" t="s">
        <v>58</v>
      </c>
      <c r="E30" t="s">
        <v>124</v>
      </c>
      <c r="F30" t="str">
        <f t="shared" si="1"/>
        <v>insert into sysLocalizationText Values(2030,'2030',     'ShortDayName-6',    'Sex',getdate(),getdate(),2)</v>
      </c>
    </row>
    <row r="31" spans="1:6" x14ac:dyDescent="0.25">
      <c r="A31">
        <v>2031</v>
      </c>
      <c r="B31" s="2">
        <v>2</v>
      </c>
      <c r="C31" t="str">
        <f t="shared" si="0"/>
        <v>'2031'</v>
      </c>
      <c r="D31" t="s">
        <v>60</v>
      </c>
      <c r="E31" t="s">
        <v>125</v>
      </c>
      <c r="F31" t="str">
        <f t="shared" si="1"/>
        <v>insert into sysLocalizationText Values(2031,'2031',     'ShortDayName-7',    'Sáb',getdate(),getdate(),2)</v>
      </c>
    </row>
    <row r="32" spans="1:6" x14ac:dyDescent="0.25">
      <c r="A32">
        <v>2032</v>
      </c>
      <c r="B32" s="2">
        <v>2</v>
      </c>
      <c r="C32" t="str">
        <f t="shared" si="0"/>
        <v>'2032'</v>
      </c>
      <c r="D32" t="s">
        <v>62</v>
      </c>
      <c r="E32" t="s">
        <v>126</v>
      </c>
      <c r="F32" t="str">
        <f t="shared" si="1"/>
        <v>insert into sysLocalizationText Values(2032,'2032',     'MonthName-1',    'JANEIRO',getdate(),getdate(),2)</v>
      </c>
    </row>
    <row r="33" spans="1:6" x14ac:dyDescent="0.25">
      <c r="A33">
        <v>2033</v>
      </c>
      <c r="B33" s="2">
        <v>2</v>
      </c>
      <c r="C33" t="str">
        <f t="shared" si="0"/>
        <v>'2033'</v>
      </c>
      <c r="D33" t="s">
        <v>64</v>
      </c>
      <c r="E33" t="s">
        <v>127</v>
      </c>
      <c r="F33" t="str">
        <f t="shared" si="1"/>
        <v>insert into sysLocalizationText Values(2033,'2033',     'MonthName-2',    'FEVEREIRO',getdate(),getdate(),2)</v>
      </c>
    </row>
    <row r="34" spans="1:6" x14ac:dyDescent="0.25">
      <c r="A34">
        <v>2034</v>
      </c>
      <c r="B34" s="2">
        <v>2</v>
      </c>
      <c r="C34" t="str">
        <f t="shared" si="0"/>
        <v>'2034'</v>
      </c>
      <c r="D34" t="s">
        <v>66</v>
      </c>
      <c r="E34" t="s">
        <v>128</v>
      </c>
      <c r="F34" t="str">
        <f t="shared" si="1"/>
        <v>insert into sysLocalizationText Values(2034,'2034',     'MonthName-3',    'MARÇO',getdate(),getdate(),2)</v>
      </c>
    </row>
    <row r="35" spans="1:6" x14ac:dyDescent="0.25">
      <c r="A35">
        <v>2035</v>
      </c>
      <c r="B35" s="2">
        <v>2</v>
      </c>
      <c r="C35" t="str">
        <f t="shared" si="0"/>
        <v>'2035'</v>
      </c>
      <c r="D35" t="s">
        <v>68</v>
      </c>
      <c r="E35" t="s">
        <v>129</v>
      </c>
      <c r="F35" t="str">
        <f t="shared" si="1"/>
        <v>insert into sysLocalizationText Values(2035,'2035',     'MonthName-4',    'ABRIL',getdate(),getdate(),2)</v>
      </c>
    </row>
    <row r="36" spans="1:6" x14ac:dyDescent="0.25">
      <c r="A36">
        <v>2036</v>
      </c>
      <c r="B36" s="2">
        <v>2</v>
      </c>
      <c r="C36" t="str">
        <f t="shared" si="0"/>
        <v>'2036'</v>
      </c>
      <c r="D36" t="s">
        <v>70</v>
      </c>
      <c r="E36" t="s">
        <v>130</v>
      </c>
      <c r="F36" t="str">
        <f t="shared" si="1"/>
        <v>insert into sysLocalizationText Values(2036,'2036',     'MonthName-5',    'MAIO',getdate(),getdate(),2)</v>
      </c>
    </row>
    <row r="37" spans="1:6" x14ac:dyDescent="0.25">
      <c r="A37">
        <v>2037</v>
      </c>
      <c r="B37" s="2">
        <v>2</v>
      </c>
      <c r="C37" t="str">
        <f t="shared" si="0"/>
        <v>'2037'</v>
      </c>
      <c r="D37" t="s">
        <v>72</v>
      </c>
      <c r="E37" t="s">
        <v>131</v>
      </c>
      <c r="F37" t="str">
        <f t="shared" si="1"/>
        <v>insert into sysLocalizationText Values(2037,'2037',     'MonthName-6',    'JUNHO',getdate(),getdate(),2)</v>
      </c>
    </row>
    <row r="38" spans="1:6" x14ac:dyDescent="0.25">
      <c r="A38">
        <v>2038</v>
      </c>
      <c r="B38" s="2">
        <v>2</v>
      </c>
      <c r="C38" t="str">
        <f t="shared" si="0"/>
        <v>'2038'</v>
      </c>
      <c r="D38" t="s">
        <v>74</v>
      </c>
      <c r="E38" t="s">
        <v>132</v>
      </c>
      <c r="F38" t="str">
        <f t="shared" si="1"/>
        <v>insert into sysLocalizationText Values(2038,'2038',     'MonthName-7',    'JULHO',getdate(),getdate(),2)</v>
      </c>
    </row>
    <row r="39" spans="1:6" x14ac:dyDescent="0.25">
      <c r="A39">
        <v>2039</v>
      </c>
      <c r="B39" s="2">
        <v>2</v>
      </c>
      <c r="C39" t="str">
        <f t="shared" si="0"/>
        <v>'2039'</v>
      </c>
      <c r="D39" t="s">
        <v>76</v>
      </c>
      <c r="E39" t="s">
        <v>133</v>
      </c>
      <c r="F39" t="str">
        <f t="shared" si="1"/>
        <v>insert into sysLocalizationText Values(2039,'2039',     'MonthName-8',    'AGOSTO',getdate(),getdate(),2)</v>
      </c>
    </row>
    <row r="40" spans="1:6" x14ac:dyDescent="0.25">
      <c r="A40">
        <v>2040</v>
      </c>
      <c r="B40" s="2">
        <v>2</v>
      </c>
      <c r="C40" t="str">
        <f t="shared" si="0"/>
        <v>'2040'</v>
      </c>
      <c r="D40" t="s">
        <v>78</v>
      </c>
      <c r="E40" t="s">
        <v>134</v>
      </c>
      <c r="F40" t="str">
        <f t="shared" si="1"/>
        <v>insert into sysLocalizationText Values(2040,'2040',     'MonthName-9',    'SETEMBRO',getdate(),getdate(),2)</v>
      </c>
    </row>
    <row r="41" spans="1:6" x14ac:dyDescent="0.25">
      <c r="A41">
        <v>2041</v>
      </c>
      <c r="B41" s="2">
        <v>2</v>
      </c>
      <c r="C41" t="str">
        <f t="shared" si="0"/>
        <v>'2041'</v>
      </c>
      <c r="D41" t="s">
        <v>80</v>
      </c>
      <c r="E41" t="s">
        <v>135</v>
      </c>
      <c r="F41" t="str">
        <f t="shared" si="1"/>
        <v>insert into sysLocalizationText Values(2041,'2041',     'MonthName-10',    'OUTUBRO',getdate(),getdate(),2)</v>
      </c>
    </row>
    <row r="42" spans="1:6" x14ac:dyDescent="0.25">
      <c r="A42">
        <v>2042</v>
      </c>
      <c r="B42" s="2">
        <v>2</v>
      </c>
      <c r="C42" t="str">
        <f t="shared" si="0"/>
        <v>'2042'</v>
      </c>
      <c r="D42" t="s">
        <v>82</v>
      </c>
      <c r="E42" t="s">
        <v>136</v>
      </c>
      <c r="F42" t="str">
        <f t="shared" si="1"/>
        <v>insert into sysLocalizationText Values(2042,'2042',     'MonthName-11',    'NOVEMBRO',getdate(),getdate(),2)</v>
      </c>
    </row>
    <row r="43" spans="1:6" x14ac:dyDescent="0.25">
      <c r="A43">
        <v>2043</v>
      </c>
      <c r="B43" s="2">
        <v>2</v>
      </c>
      <c r="C43" t="str">
        <f t="shared" si="0"/>
        <v>'2043'</v>
      </c>
      <c r="D43" t="s">
        <v>84</v>
      </c>
      <c r="E43" t="s">
        <v>137</v>
      </c>
      <c r="F43" t="str">
        <f t="shared" si="1"/>
        <v>insert into sysLocalizationText Values(2043,'2043',     'MonthName-12',    'DEZEMBRO',getdate(),getdate(),2)</v>
      </c>
    </row>
    <row r="44" spans="1:6" x14ac:dyDescent="0.25">
      <c r="A44">
        <v>2044</v>
      </c>
      <c r="B44" s="2">
        <v>2</v>
      </c>
      <c r="C44" t="str">
        <f t="shared" si="0"/>
        <v>'2044'</v>
      </c>
      <c r="D44" t="s">
        <v>86</v>
      </c>
      <c r="E44" t="s">
        <v>138</v>
      </c>
      <c r="F44" t="str">
        <f t="shared" si="1"/>
        <v>insert into sysLocalizationText Values(2044,'2044',     'Validation-NotNull',    'não pode ser nulo.',getdate(),getdate(),2)</v>
      </c>
    </row>
    <row r="45" spans="1:6" x14ac:dyDescent="0.25">
      <c r="A45">
        <v>2045</v>
      </c>
      <c r="B45" s="2">
        <v>2</v>
      </c>
      <c r="C45" t="str">
        <f t="shared" si="0"/>
        <v>'2045'</v>
      </c>
      <c r="D45" t="s">
        <v>88</v>
      </c>
      <c r="E45" t="s">
        <v>141</v>
      </c>
      <c r="F45" t="str">
        <f t="shared" si="1"/>
        <v>insert into sysLocalizationText Values(2045,'2045',     'Validation-Max-Characters',    'O campo {0} não pode ter mais de maxlength caracteres.',getdate(),getdate(),2)</v>
      </c>
    </row>
    <row r="46" spans="1:6" x14ac:dyDescent="0.25">
      <c r="A46">
        <v>2046</v>
      </c>
      <c r="B46" s="2">
        <v>2</v>
      </c>
      <c r="C46" t="str">
        <f t="shared" si="0"/>
        <v>'2046'</v>
      </c>
      <c r="D46" t="s">
        <v>89</v>
      </c>
      <c r="E46" t="s">
        <v>142</v>
      </c>
      <c r="F46" t="str">
        <f t="shared" si="1"/>
        <v>insert into sysLocalizationText Values(2046,'2046',     'Validation-Invalid-Field',    'O campo {0} é inválido.',getdate(),getdate(),2)</v>
      </c>
    </row>
    <row r="47" spans="1:6" x14ac:dyDescent="0.25">
      <c r="A47">
        <v>2047</v>
      </c>
      <c r="B47" s="2">
        <v>2</v>
      </c>
      <c r="C47" t="str">
        <f t="shared" si="0"/>
        <v>'2047'</v>
      </c>
      <c r="D47" t="s">
        <v>90</v>
      </c>
      <c r="E47" t="s">
        <v>143</v>
      </c>
      <c r="F47" t="str">
        <f t="shared" si="1"/>
        <v>insert into sysLocalizationText Values(2047,'2047',     'Validation-Invalid-UserName',    'O campo {0} é inválido. Não use caracteres especiais ou espaços.',getdate(),getdate(),2)</v>
      </c>
    </row>
    <row r="48" spans="1:6" x14ac:dyDescent="0.25">
      <c r="A48">
        <v>2048</v>
      </c>
      <c r="B48" s="2">
        <v>2</v>
      </c>
      <c r="C48" t="str">
        <f t="shared" si="0"/>
        <v>'2048'</v>
      </c>
      <c r="D48" t="s">
        <v>91</v>
      </c>
      <c r="E48" t="s">
        <v>144</v>
      </c>
      <c r="F48" t="str">
        <f t="shared" si="1"/>
        <v>insert into sysLocalizationText Values(2048,'2048',     'Validation-Unique-Value',    'O campo {0} é inválido. O valor informado deve ser único.',getdate(),getdate(),2)</v>
      </c>
    </row>
    <row r="49" spans="1:6" x14ac:dyDescent="0.25">
      <c r="A49">
        <v>2049</v>
      </c>
      <c r="B49" s="2">
        <v>2</v>
      </c>
      <c r="C49" t="str">
        <f t="shared" si="0"/>
        <v>'2049'</v>
      </c>
      <c r="D49" t="s">
        <v>92</v>
      </c>
      <c r="E49" t="s">
        <v>139</v>
      </c>
      <c r="F49" t="str">
        <f t="shared" si="1"/>
        <v>insert into sysLocalizationText Values(2049,'2049',     'User-Instance-Exists',    'Esta Instância já está associada ao Usuário.',getdate(),getdate(),2)</v>
      </c>
    </row>
    <row r="50" spans="1:6" x14ac:dyDescent="0.25">
      <c r="A50">
        <v>2050</v>
      </c>
      <c r="B50" s="2">
        <v>2</v>
      </c>
      <c r="C50" t="str">
        <f t="shared" si="0"/>
        <v>'2050'</v>
      </c>
      <c r="D50" t="s">
        <v>94</v>
      </c>
      <c r="E50" t="s">
        <v>140</v>
      </c>
      <c r="F50" t="str">
        <f t="shared" si="1"/>
        <v>insert into sysLocalizationText Values(2050,'2050',     'User-Instance-No-Exists',    'Esta Instância não pertence ao Usuário.',getdate(),getdate(),2)</v>
      </c>
    </row>
    <row r="51" spans="1:6" x14ac:dyDescent="0.25">
      <c r="A51">
        <v>2051</v>
      </c>
      <c r="B51" s="2">
        <v>2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Values(2051,'2051','User-PageTitle','Gerenciamento de Usuários',getdate(),getdate(),2)</v>
      </c>
    </row>
    <row r="52" spans="1:6" x14ac:dyDescent="0.25">
      <c r="A52">
        <v>2052</v>
      </c>
      <c r="B52" s="2">
        <v>2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Values(2052,'2052','SearchButtonLabel','Pesquisar',getdate(),getdate(),2)</v>
      </c>
    </row>
    <row r="53" spans="1:6" x14ac:dyDescent="0.25">
      <c r="A53">
        <v>2053</v>
      </c>
      <c r="B53" s="2">
        <v>2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Values(2053,'2053','SearchingLabel','Pesquisando...',getdate(),getdate(),2)</v>
      </c>
    </row>
    <row r="54" spans="1:6" x14ac:dyDescent="0.25">
      <c r="A54">
        <v>2054</v>
      </c>
      <c r="B54" s="2">
        <v>2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Values(2054,'2054','InsertingLoadingLabel','Inserindo...',getdate(),getdate(),2)</v>
      </c>
    </row>
    <row r="55" spans="1:6" x14ac:dyDescent="0.25">
      <c r="A55">
        <v>2055</v>
      </c>
      <c r="B55" s="2">
        <v>2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Values(2055,'2055','SearchResultLabel','Resultado da Busca',getdate(),getdate(),2)</v>
      </c>
    </row>
    <row r="56" spans="1:6" x14ac:dyDescent="0.25">
      <c r="A56">
        <v>2056</v>
      </c>
      <c r="B56" s="2">
        <v>2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Values(2056,'2056','DetailsLabel','Detalhes',getdate(),getdate(),2)</v>
      </c>
    </row>
    <row r="57" spans="1:6" x14ac:dyDescent="0.25">
      <c r="A57">
        <v>2057</v>
      </c>
      <c r="B57" s="2">
        <v>2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Values(2057,'2057','NoRecordsFound','Nenhum registro encontrado',getdate(),getdate(),2)</v>
      </c>
    </row>
    <row r="58" spans="1:6" x14ac:dyDescent="0.25">
      <c r="A58">
        <v>2058</v>
      </c>
      <c r="B58" s="2">
        <v>2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Values(2058,'2058','LoadingPage','Carregando. Aguarde...',getdate(),getdate(),2)</v>
      </c>
    </row>
    <row r="59" spans="1:6" x14ac:dyDescent="0.25">
      <c r="A59">
        <v>2059</v>
      </c>
      <c r="B59" s="2">
        <v>2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Values(2059,'2059','LoadingData','Carregando a página. Aguarde...',getdate(),getdate(),2)</v>
      </c>
    </row>
    <row r="60" spans="1:6" x14ac:dyDescent="0.25">
      <c r="A60">
        <v>2060</v>
      </c>
      <c r="B60" s="2">
        <v>2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Values(2060,'2060','ErrorOnExecuteSearch','Erro ao efetuar a busca',getdate(),getdate(),2)</v>
      </c>
    </row>
    <row r="61" spans="1:6" x14ac:dyDescent="0.25">
      <c r="A61">
        <v>2061</v>
      </c>
      <c r="B61" s="2">
        <v>2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Values(2061,'2061','ErrorOnReturnData','Erro ao retornar dados',getdate(),getdate(),2)</v>
      </c>
    </row>
    <row r="62" spans="1:6" x14ac:dyDescent="0.25">
      <c r="A62">
        <v>2062</v>
      </c>
      <c r="B62" s="2">
        <v>2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Values(2062,'2062','ErrorOnCreateNewRecord','Erro ao criar registro',getdate(),getdate(),2)</v>
      </c>
    </row>
    <row r="63" spans="1:6" x14ac:dyDescent="0.25">
      <c r="A63">
        <v>2063</v>
      </c>
      <c r="B63" s="2">
        <v>2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Values(2063,'2063','AfterSaveAnswering','O novo registro foi criado com sucesso. Deseja continuar inserindo ?',getdate(),getdate(),2)</v>
      </c>
    </row>
    <row r="64" spans="1:6" x14ac:dyDescent="0.25">
      <c r="A64">
        <v>2064</v>
      </c>
      <c r="B64" s="2">
        <v>2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Values(2064,'2064','NoticeLabel','Aviso',getdate(),getdate(),2)</v>
      </c>
    </row>
    <row r="65" spans="1:6" x14ac:dyDescent="0.25">
      <c r="A65">
        <v>2065</v>
      </c>
      <c r="B65" s="2">
        <v>2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Values(2065,'2065','SuccessLabel','Sucesso',getdate(),getdate(),2)</v>
      </c>
    </row>
    <row r="66" spans="1:6" x14ac:dyDescent="0.25">
      <c r="A66">
        <v>2066</v>
      </c>
      <c r="B66" s="2">
        <v>2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Values(2066,'2066','SuccessSaveMessage','O registro foi salvo com sucesso.',getdate(),getdate(),2)</v>
      </c>
    </row>
    <row r="67" spans="1:6" x14ac:dyDescent="0.25">
      <c r="A67">
        <v>2067</v>
      </c>
      <c r="B67" s="2">
        <v>2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Values(2067,'2067','Email-Label','E-mail',getdate(),getdate(),2)</v>
      </c>
    </row>
    <row r="68" spans="1:6" x14ac:dyDescent="0.25">
      <c r="A68">
        <v>2068</v>
      </c>
      <c r="B68" s="2">
        <v>2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Values(2068,'2068','UserName-Label','Nome de Usuário',getdate(),getdate(),2)</v>
      </c>
    </row>
    <row r="69" spans="1:6" x14ac:dyDescent="0.25">
      <c r="A69">
        <v>2069</v>
      </c>
      <c r="B69" s="2">
        <v>2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Values(2069,'2069','Password-Label','Senha',getdate(),getdate(),2)</v>
      </c>
    </row>
    <row r="70" spans="1:6" x14ac:dyDescent="0.25">
      <c r="A70">
        <v>2070</v>
      </c>
      <c r="B70" s="2">
        <v>2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Values(2070,'2070','Instance-Label','Instância',getdate(),getdate(),2)</v>
      </c>
    </row>
    <row r="71" spans="1:6" x14ac:dyDescent="0.25">
      <c r="A71">
        <v>2071</v>
      </c>
      <c r="B71" s="2">
        <v>2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Values(2071,'2071','Role-Label','Perfim',getdate(),getdate(),2)</v>
      </c>
    </row>
    <row r="72" spans="1:6" x14ac:dyDescent="0.25">
      <c r="A72">
        <v>2072</v>
      </c>
      <c r="B72" s="2">
        <v>2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Values(2072,'2072','Yes-Text','Sim',getdate(),getdate(),2)</v>
      </c>
    </row>
    <row r="73" spans="1:6" x14ac:dyDescent="0.25">
      <c r="A73">
        <v>2073</v>
      </c>
      <c r="B73" s="2">
        <v>2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Values(2073,'2073','No-Text','Não',getdate(),getdate(),2)</v>
      </c>
    </row>
    <row r="74" spans="1:6" x14ac:dyDescent="0.25">
      <c r="A74">
        <v>2074</v>
      </c>
      <c r="B74" s="2">
        <v>2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Values(2074,'2074','Saving-Label','Salvando...',getdate(),getdate(),2)</v>
      </c>
    </row>
    <row r="75" spans="1:6" x14ac:dyDescent="0.25">
      <c r="A75">
        <v>2075</v>
      </c>
      <c r="B75" s="2">
        <v>2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Values(2075,'2075','Edit-Label','Editar',getdate(),getdate(),2)</v>
      </c>
    </row>
    <row r="76" spans="1:6" x14ac:dyDescent="0.25">
      <c r="A76">
        <v>2076</v>
      </c>
      <c r="B76" s="2">
        <v>2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Values(2076,'2076','Date-Label','Data',getdate(),getdate(),2)</v>
      </c>
    </row>
    <row r="77" spans="1:6" x14ac:dyDescent="0.25">
      <c r="A77">
        <v>2077</v>
      </c>
      <c r="B77" s="2">
        <v>2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Values(2077,'2077','Field-Label','Campo',getdate(),getdate(),2)</v>
      </c>
    </row>
    <row r="78" spans="1:6" x14ac:dyDescent="0.25">
      <c r="A78">
        <v>2078</v>
      </c>
      <c r="B78" s="2">
        <v>2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Values(2078,'2078','Value-Label','Valor',getdate(),getdate(),2)</v>
      </c>
    </row>
    <row r="79" spans="1:6" x14ac:dyDescent="0.25">
      <c r="A79">
        <v>2079</v>
      </c>
      <c r="B79" s="2">
        <v>2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Values(2079,'2079','SelectItem-Description','Selecione um Item',getdate(),getdate(),2)</v>
      </c>
    </row>
    <row r="80" spans="1:6" x14ac:dyDescent="0.25">
      <c r="A80">
        <v>2080</v>
      </c>
      <c r="B80" s="2">
        <v>2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Values(2080,'2080','AllItem-Description','Todos',getdate(),getdate(),2)</v>
      </c>
    </row>
    <row r="81" spans="1:6" x14ac:dyDescent="0.25">
      <c r="A81">
        <v>2081</v>
      </c>
      <c r="B81" s="2">
        <v>2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Values(2081,'2081','Welcome-Label','Bem-vindo ao GW Template',getdate(),getdate(),2)</v>
      </c>
    </row>
    <row r="82" spans="1:6" x14ac:dyDescent="0.25">
      <c r="A82">
        <v>2082</v>
      </c>
      <c r="B82" s="2">
        <v>2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Values(2082,'2082','LoginTitle-Label','Entrar',getdate(),getdate(),2)</v>
      </c>
    </row>
    <row r="83" spans="1:6" x14ac:dyDescent="0.25">
      <c r="A83">
        <v>2083</v>
      </c>
      <c r="B83" s="2">
        <v>2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Values(2083,'2083','LoginTitle-Description','Insira suas credenciais de acesso',getdate(),getdate(),2)</v>
      </c>
    </row>
    <row r="84" spans="1:6" x14ac:dyDescent="0.25">
      <c r="A84">
        <v>2084</v>
      </c>
      <c r="B84" s="2">
        <v>2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Values(2084,'2084','InputEmail-Description','Digite seu e-mail de cadastro',getdate(),getdate(),2)</v>
      </c>
    </row>
    <row r="85" spans="1:6" x14ac:dyDescent="0.25">
      <c r="A85">
        <v>2085</v>
      </c>
      <c r="B85" s="2">
        <v>2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Values(2085,'2085','InputPassword-Description','Digite sua senha',getdate(),getdate(),2)</v>
      </c>
    </row>
    <row r="86" spans="1:6" x14ac:dyDescent="0.25">
      <c r="A86">
        <v>2086</v>
      </c>
      <c r="B86" s="2">
        <v>2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Values(2086,'2086','ForgetPassword-Description','Esqueceu a senha ?',getdate(),getdate(),2)</v>
      </c>
    </row>
    <row r="87" spans="1:6" x14ac:dyDescent="0.25">
      <c r="A87">
        <v>2087</v>
      </c>
      <c r="B87" s="2">
        <v>2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Values(2087,'2087','LoginButton-Label','Confirmar',getdate(),getdate(),2)</v>
      </c>
    </row>
    <row r="88" spans="1:6" x14ac:dyDescent="0.25">
      <c r="A88">
        <v>2088</v>
      </c>
      <c r="B88" s="2">
        <v>2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Values(2088,'2088','LoginLoading-Label','Entrando...',getdate(),getdate(),2)</v>
      </c>
    </row>
    <row r="89" spans="1:6" x14ac:dyDescent="0.25">
      <c r="A89">
        <v>2089</v>
      </c>
      <c r="B89" s="2">
        <v>2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Values(2089,'2089','SendText-Description','Enviando...',getdate(),getdate(),2)</v>
      </c>
    </row>
    <row r="90" spans="1:6" x14ac:dyDescent="0.25">
      <c r="A90">
        <v>2090</v>
      </c>
      <c r="B90" s="2">
        <v>2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Values(2090,'2090','ActiveAccountButton-Label','Ativar Conta',getdate(),getdate(),2)</v>
      </c>
    </row>
    <row r="91" spans="1:6" x14ac:dyDescent="0.25">
      <c r="A91">
        <v>2091</v>
      </c>
      <c r="B91" s="2">
        <v>2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Values(2091,'2091','ActiveAccount-Label','Ativação de Conta',getdate(),getdate(),2)</v>
      </c>
    </row>
    <row r="92" spans="1:6" x14ac:dyDescent="0.25">
      <c r="A92">
        <v>2092</v>
      </c>
      <c r="B92" s="2">
        <v>2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Values(2092,'2092','ActiveAccount-Description','Não consegue acessar ?',getdate(),getdate(),2)</v>
      </c>
    </row>
    <row r="93" spans="1:6" x14ac:dyDescent="0.25">
      <c r="A93">
        <v>2093</v>
      </c>
      <c r="B93" s="2">
        <v>2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Values(2093,'2093','ActiveAccount-Step1','Envie o código de ativação para o seu e-mail de cadastro',getdate(),getdate(),2)</v>
      </c>
    </row>
    <row r="94" spans="1:6" x14ac:dyDescent="0.25">
      <c r="A94">
        <v>2094</v>
      </c>
      <c r="B94" s="2">
        <v>2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Values(2094,'2094','ActiveAccount-Step2','Informe o código de ativação recebido',getdate(),getdate(),2)</v>
      </c>
    </row>
    <row r="95" spans="1:6" x14ac:dyDescent="0.25">
      <c r="A95">
        <v>2095</v>
      </c>
      <c r="B95" s="2">
        <v>2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Values(2095,'2095','SendCodeButton-Label','Enviar Código',getdate(),getdate(),2)</v>
      </c>
    </row>
    <row r="96" spans="1:6" x14ac:dyDescent="0.25">
      <c r="A96">
        <v>2096</v>
      </c>
      <c r="B96" s="2">
        <v>2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Values(2096,'2096','ActiveLoading-Label','Solicitar Ativação',getdate(),getdate(),2)</v>
      </c>
    </row>
    <row r="97" spans="1:6" x14ac:dyDescent="0.25">
      <c r="A97">
        <v>2097</v>
      </c>
      <c r="B97" s="2">
        <v>2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Values(2097,'2097','InputCode-Description','Digite o código recebido por e-mail',getdate(),getdate(),2)</v>
      </c>
    </row>
    <row r="98" spans="1:6" x14ac:dyDescent="0.25">
      <c r="A98">
        <v>2098</v>
      </c>
      <c r="B98" s="2">
        <v>2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Values(2098,'2098','Unlogged-Label','Você não está logado',getdate(),getdate(),2)</v>
      </c>
    </row>
    <row r="99" spans="1:6" x14ac:dyDescent="0.25">
      <c r="A99">
        <v>2099</v>
      </c>
      <c r="B99" s="2">
        <v>2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Values(2099,'2099','MyProfile-Label','Meu Perfil',getdate(),getdate(),2)</v>
      </c>
    </row>
    <row r="100" spans="1:6" x14ac:dyDescent="0.25">
      <c r="A100">
        <v>2100</v>
      </c>
      <c r="B100" s="2">
        <v>2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Values(2100,'2100','MainProfileData-Label','Dados do Perfil',getdate(),getdate(),2)</v>
      </c>
    </row>
    <row r="101" spans="1:6" x14ac:dyDescent="0.25">
      <c r="A101">
        <v>2101</v>
      </c>
      <c r="B101" s="2">
        <v>2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Values(2101,'2101','AlterPassword-Label','Trocar Senha',getdate(),getdate(),2)</v>
      </c>
    </row>
    <row r="102" spans="1:6" x14ac:dyDescent="0.25">
      <c r="A102">
        <v>2102</v>
      </c>
      <c r="B102" s="2">
        <v>2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Values(2102,'2102','LanguageRole-Label','Linguagem',getdate(),getdate(),2)</v>
      </c>
    </row>
    <row r="103" spans="1:6" x14ac:dyDescent="0.25">
      <c r="A103">
        <v>2103</v>
      </c>
      <c r="B103" s="2">
        <v>2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Values(2103,'2103','AlterProfileImage-Label','Alterar a imagem de perfil',getdate(),getdate(),2)</v>
      </c>
    </row>
    <row r="104" spans="1:6" x14ac:dyDescent="0.25">
      <c r="A104">
        <v>2104</v>
      </c>
      <c r="B104" s="2">
        <v>2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Values(2104,'2104','AlterPasswordStep1-Label','Clique no link abaixo para receber um email com o código de segurança para troca de senha',getdate(),getdate(),2)</v>
      </c>
    </row>
    <row r="105" spans="1:6" x14ac:dyDescent="0.25">
      <c r="A105">
        <v>2105</v>
      </c>
      <c r="B105" s="2">
        <v>2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Values(2105,'2105','AlterPasswordStep2-Label','Após receber código, preencha as informações abaixo e clique em Altera Senha',getdate(),getdate(),2)</v>
      </c>
    </row>
    <row r="106" spans="1:6" x14ac:dyDescent="0.25">
      <c r="A106">
        <v>2106</v>
      </c>
      <c r="B106" s="2">
        <v>2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Values(2106,'2106','InputNewPassword-Label','Digite a nova senha',getdate(),getdate(),2)</v>
      </c>
    </row>
    <row r="107" spans="1:6" x14ac:dyDescent="0.25">
      <c r="A107">
        <v>2107</v>
      </c>
      <c r="B107" s="2">
        <v>2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Values(2107,'2107','AlterPasswordButton-Label','Alterar a Senha',getdate(),getdate(),2)</v>
      </c>
    </row>
    <row r="108" spans="1:6" x14ac:dyDescent="0.25">
      <c r="A108">
        <v>2108</v>
      </c>
      <c r="B108" s="2">
        <v>2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Values(2108,'2108','AlterPasswordButton-Loading','Alterando a senha....',getdate(),getdate(),2)</v>
      </c>
    </row>
    <row r="109" spans="1:6" x14ac:dyDescent="0.25">
      <c r="A109">
        <v>2109</v>
      </c>
      <c r="B109" s="2">
        <v>2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Values(2109,'2109','InvalidCredentials-Title','Credenciais Inválidas',getdate(),getdate(),2)</v>
      </c>
    </row>
    <row r="110" spans="1:6" x14ac:dyDescent="0.25">
      <c r="A110">
        <v>2110</v>
      </c>
      <c r="B110" s="2">
        <v>2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Values(2110,'2110','InvalidCredentials-Message','E-mail ou senha inválidos!',getdate(),getdate(),2)</v>
      </c>
    </row>
    <row r="111" spans="1:6" x14ac:dyDescent="0.25">
      <c r="A111">
        <v>2111</v>
      </c>
      <c r="B111" s="2">
        <v>2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Values(2111,'2111','TemporaryPassword-Title','Senha Enviada',getdate(),getdate(),2)</v>
      </c>
    </row>
    <row r="112" spans="1:6" x14ac:dyDescent="0.25">
      <c r="A112">
        <v>2112</v>
      </c>
      <c r="B112" s="2">
        <v>2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Values(2112,'2112','TemporaryPassword-Message','Uma senha temporária foi enviada para o seu e-mail de cadastro. Ao logar, solicite a troca de senha.',getdate(),getdate(),2)</v>
      </c>
    </row>
    <row r="113" spans="1:6" x14ac:dyDescent="0.25">
      <c r="A113">
        <v>2113</v>
      </c>
      <c r="B113" s="2">
        <v>2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Values(2113,'2113','SuccessActivated-Title','Conta Ativada com Sucesso',getdate(),getdate(),2)</v>
      </c>
    </row>
    <row r="114" spans="1:6" x14ac:dyDescent="0.25">
      <c r="A114">
        <v>2114</v>
      </c>
      <c r="B114" s="2">
        <v>2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Values(2114,'2114','SuccessActivated-Message','A conta foi ativada com sucesso. Você já pode efetuar login.',getdate(),getdate(),2)</v>
      </c>
    </row>
    <row r="115" spans="1:6" x14ac:dyDescent="0.25">
      <c r="A115">
        <v>2115</v>
      </c>
      <c r="B115" s="2">
        <v>2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Values(2115,'2115','ActivateCode-Title','Código Enviado',getdate(),getdate(),2)</v>
      </c>
    </row>
    <row r="116" spans="1:6" x14ac:dyDescent="0.25">
      <c r="A116">
        <v>2116</v>
      </c>
      <c r="B116" s="2">
        <v>2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Values(2116,'2116','ActivateCode-Message','O código de segurança foi enviado por e-mail.',getdate(),getdate(),2)</v>
      </c>
    </row>
    <row r="117" spans="1:6" x14ac:dyDescent="0.25">
      <c r="A117">
        <v>2117</v>
      </c>
      <c r="B117" s="2">
        <v>2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Values(2117,'2117','PasswordChanged-Title','Senha Alterada',getdate(),getdate(),2)</v>
      </c>
    </row>
    <row r="118" spans="1:6" x14ac:dyDescent="0.25">
      <c r="A118">
        <v>2118</v>
      </c>
      <c r="B118" s="2">
        <v>2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Values(2118,'2118','PasswordChanged-Message','A senha foi alterada com sucesso. Efetue login novamente.',getdate(),getdate(),2)</v>
      </c>
    </row>
    <row r="119" spans="1:6" x14ac:dyDescent="0.25">
      <c r="A119">
        <v>2119</v>
      </c>
      <c r="B119" s="2">
        <v>2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Values(2119,'2119','ImageChanged-Title','Imagem Alterada',getdate(),getdate(),2)</v>
      </c>
    </row>
    <row r="120" spans="1:6" x14ac:dyDescent="0.25">
      <c r="A120">
        <v>2120</v>
      </c>
      <c r="B120" s="2">
        <v>2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Values(2120,'2120','ImageChanged-Message','A imagem de perfil foi alterada. No próximo login a nova imagem será exibida.',getdate(),getdate(),2)</v>
      </c>
    </row>
    <row r="121" spans="1:6" x14ac:dyDescent="0.25">
      <c r="A121">
        <v>2121</v>
      </c>
      <c r="B121" s="2">
        <v>2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Values(2121,'2121','SearchByEmail-Label','Por E-mail',getdate(),getdate(),2)</v>
      </c>
    </row>
    <row r="122" spans="1:6" x14ac:dyDescent="0.25">
      <c r="A122">
        <v>2122</v>
      </c>
      <c r="B122" s="2">
        <v>2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Values(2122,'2122','SearchByUserName-Label','Por Nome de Usuário',getdate(),getdate(),2)</v>
      </c>
    </row>
    <row r="123" spans="1:6" x14ac:dyDescent="0.25">
      <c r="A123">
        <v>2123</v>
      </c>
      <c r="B123" s="2">
        <v>2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Values(2123,'2123','SearchByEmail-Description','Pesquisar por E-mail',getdate(),getdate(),2)</v>
      </c>
    </row>
    <row r="124" spans="1:6" x14ac:dyDescent="0.25">
      <c r="A124">
        <v>2124</v>
      </c>
      <c r="B124" s="2">
        <v>2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Values(2124,'2124','SearchByUserName-Description','Pesquisar por Nome de Usuário',getdate(),getdate(),2)</v>
      </c>
    </row>
    <row r="125" spans="1:6" x14ac:dyDescent="0.25">
      <c r="A125">
        <v>2125</v>
      </c>
      <c r="B125" s="2">
        <v>2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Values(2125,'2125','SearchByInstance-Label','Por Instância',getdate(),getdate(),2)</v>
      </c>
    </row>
    <row r="126" spans="1:6" x14ac:dyDescent="0.25">
      <c r="A126">
        <v>2126</v>
      </c>
      <c r="B126" s="2">
        <v>2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Values(2126,'2126','SearchByRole-Label','Por Perfil',getdate(),getdate(),2)</v>
      </c>
    </row>
    <row r="127" spans="1:6" x14ac:dyDescent="0.25">
      <c r="A127">
        <v>2127</v>
      </c>
      <c r="B127" s="2">
        <v>2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Values(2127,'2127','NewUser-Label','Novo Usuáro',getdate(),getdate(),2)</v>
      </c>
    </row>
    <row r="128" spans="1:6" x14ac:dyDescent="0.25">
      <c r="A128">
        <v>2128</v>
      </c>
      <c r="B128" s="2">
        <v>2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Values(2128,'2128','NewUser-Description','Clique aqui para criar novo usuário',getdate(),getdate(),2)</v>
      </c>
    </row>
    <row r="129" spans="1:6" x14ac:dyDescent="0.25">
      <c r="A129">
        <v>2129</v>
      </c>
      <c r="B129" s="2">
        <v>2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Values(2129,'2129','Active-Label','Ativo',getdate(),getdate(),2)</v>
      </c>
    </row>
    <row r="130" spans="1:6" x14ac:dyDescent="0.25">
      <c r="A130">
        <v>2130</v>
      </c>
      <c r="B130" s="2">
        <v>2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Values(2130,'2130','Locked-Label','Bloqueado',getdate(),getdate(),2)</v>
      </c>
    </row>
    <row r="131" spans="1:6" x14ac:dyDescent="0.25">
      <c r="A131">
        <v>2131</v>
      </c>
      <c r="B131" s="2">
        <v>2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Values(2131,'2131','MainData-Label','Dados Principais',getdate(),getdate(),2)</v>
      </c>
    </row>
    <row r="132" spans="1:6" x14ac:dyDescent="0.25">
      <c r="A132">
        <v>2132</v>
      </c>
      <c r="B132" s="2">
        <v>2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Values(2132,'2132','User-SecondTabLabel','Instância e Perfil',getdate(),getdate(),2)</v>
      </c>
    </row>
    <row r="133" spans="1:6" x14ac:dyDescent="0.25">
      <c r="A133">
        <v>2133</v>
      </c>
      <c r="B133" s="2">
        <v>2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Values(2133,'2133','CreateDate-Label','Data de Cadastro',getdate(),getdate(),2)</v>
      </c>
    </row>
    <row r="134" spans="1:6" x14ac:dyDescent="0.25">
      <c r="A134">
        <v>2134</v>
      </c>
      <c r="B134" s="2">
        <v>2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Values(2134,'2134','LastLoginDate-Label','Data do Último Acesso',getdate(),getdate(),2)</v>
      </c>
    </row>
    <row r="135" spans="1:6" x14ac:dyDescent="0.25">
      <c r="A135">
        <v>2135</v>
      </c>
      <c r="B135" s="2">
        <v>2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Values(2135,'2135','DefaultLanguage-Label','Idioma Padrão',getdate(),getdate(),2)</v>
      </c>
    </row>
    <row r="136" spans="1:6" x14ac:dyDescent="0.25">
      <c r="A136">
        <v>2136</v>
      </c>
      <c r="B136" s="2">
        <v>2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Values(2136,'2136','LastLoginIP-Label','IP do Último Acesso',getdate(),getdate(),2)</v>
      </c>
    </row>
    <row r="137" spans="1:6" x14ac:dyDescent="0.25">
      <c r="A137">
        <v>2137</v>
      </c>
      <c r="B137" s="2">
        <v>2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Values(2137,'2137','LoginCounter-Label','Total de Acessos',getdate(),getdate(),2)</v>
      </c>
    </row>
    <row r="138" spans="1:6" x14ac:dyDescent="0.25">
      <c r="A138">
        <v>2138</v>
      </c>
      <c r="B138" s="2">
        <v>2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Values(2138,'2138','PasswordRecovery-Label','Código de Recuperação de Senha',getdate(),getdate(),2)</v>
      </c>
    </row>
    <row r="139" spans="1:6" x14ac:dyDescent="0.25">
      <c r="A139">
        <v>2139</v>
      </c>
      <c r="B139" s="2">
        <v>2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Values(2139,'2139','AlterInstance-Label','Alterar a Instância',getdate(),getdate(),2)</v>
      </c>
    </row>
    <row r="140" spans="1:6" x14ac:dyDescent="0.25">
      <c r="A140">
        <v>2140</v>
      </c>
      <c r="B140" s="2">
        <v>2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Values(2140,'2140','AlterInstance-Description','Selecione uma Instância para alterar',getdate(),getdate(),2)</v>
      </c>
    </row>
    <row r="141" spans="1:6" x14ac:dyDescent="0.25">
      <c r="A141">
        <v>2141</v>
      </c>
      <c r="B141" s="2">
        <v>2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Values(2141,'2141','Altering-Label','Alterando...',getdate(),getdate(),2)</v>
      </c>
    </row>
    <row r="142" spans="1:6" x14ac:dyDescent="0.25">
      <c r="A142">
        <v>2142</v>
      </c>
      <c r="B142" s="2">
        <v>2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Values(2142,'2142','AlterRole-Label','Alterar Perfil',getdate(),getdate(),2)</v>
      </c>
    </row>
    <row r="143" spans="1:6" x14ac:dyDescent="0.25">
      <c r="A143">
        <v>2143</v>
      </c>
      <c r="B143" s="2">
        <v>2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Values(2143,'2143','AlterRole-Description','Selecione um Perfil para alterar',getdate(),getdate(),2)</v>
      </c>
    </row>
    <row r="144" spans="1:6" x14ac:dyDescent="0.25">
      <c r="A144">
        <v>2144</v>
      </c>
      <c r="B144" s="2">
        <v>2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Values(2144,'2144','UserStatus-Label','Status do Usuário',getdate(),getdate(),2)</v>
      </c>
    </row>
    <row r="145" spans="1:6" x14ac:dyDescent="0.25">
      <c r="A145">
        <v>2145</v>
      </c>
      <c r="B145" s="2">
        <v>2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Values(2145,'2145','ChangeUserState-Description','Clique aqui para alterar o status',getdate(),getdate(),2)</v>
      </c>
    </row>
    <row r="146" spans="1:6" x14ac:dyDescent="0.25">
      <c r="A146">
        <v>2146</v>
      </c>
      <c r="B146" s="2">
        <v>2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Values(2146,'2146','ChangeUserState-Label','Atualizar Status',getdate(),getdate(),2)</v>
      </c>
    </row>
    <row r="147" spans="1:6" x14ac:dyDescent="0.25">
      <c r="A147">
        <v>2147</v>
      </c>
      <c r="B147" s="2">
        <v>2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Values(2147,'2147','CreateUser-Label','Novo Usuário',getdate(),getdate(),2)</v>
      </c>
    </row>
    <row r="148" spans="1:6" x14ac:dyDescent="0.25">
      <c r="A148">
        <v>2148</v>
      </c>
      <c r="B148" s="2">
        <v>2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Values(2148,'2148','CreateUser-Description','Clique aqui para cciar o novo usuário',getdate(),getdate(),2)</v>
      </c>
    </row>
    <row r="149" spans="1:6" x14ac:dyDescent="0.25">
      <c r="A149">
        <v>2149</v>
      </c>
      <c r="B149" s="2">
        <v>2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Values(2149,'2149','CreateUserButton-Label','Salvar',getdate(),getdate(),2)</v>
      </c>
    </row>
    <row r="150" spans="1:6" x14ac:dyDescent="0.25">
      <c r="A150">
        <v>2150</v>
      </c>
      <c r="B150" s="2">
        <v>2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Values(2150,'2150','AlterStatus-Error','Error ao alterar o status do usuário',getdate(),getdate(),2)</v>
      </c>
    </row>
    <row r="151" spans="1:6" x14ac:dyDescent="0.25">
      <c r="A151">
        <v>2151</v>
      </c>
      <c r="B151" s="2">
        <v>2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Values(2151,'2151','AlterStatus-Success','O status do usuário foi alterado com sucesso',getdate(),getdate(),2)</v>
      </c>
    </row>
    <row r="152" spans="1:6" x14ac:dyDescent="0.25">
      <c r="A152">
        <v>2152</v>
      </c>
      <c r="B152" s="2">
        <v>2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Values(2152,'2152','AlterInstance-Error','Erro ao alterar instância',getdate(),getdate(),2)</v>
      </c>
    </row>
    <row r="153" spans="1:6" x14ac:dyDescent="0.25">
      <c r="A153">
        <v>2153</v>
      </c>
      <c r="B153" s="2">
        <v>2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Values(2153,'2153','AlterInstance-Success','A instância foi alterada com sucesso',getdate(),getdate(),2)</v>
      </c>
    </row>
    <row r="154" spans="1:6" x14ac:dyDescent="0.25">
      <c r="A154">
        <v>2154</v>
      </c>
      <c r="B154" s="2">
        <v>2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Values(2154,'2154','AlterRole-Error','Erro ao alterar o perfil.',getdate(),getdate(),2)</v>
      </c>
    </row>
    <row r="155" spans="1:6" x14ac:dyDescent="0.25">
      <c r="A155">
        <v>2155</v>
      </c>
      <c r="B155" s="2">
        <v>2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Values(2155,'2155','AlterRole-Success','O status foi alterado com sucesso',getdate(),getdate(),2)</v>
      </c>
    </row>
    <row r="156" spans="1:6" x14ac:dyDescent="0.25">
      <c r="A156">
        <v>2156</v>
      </c>
      <c r="B156" s="2">
        <v>2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Values(2156,'2156','Instance-PageTitle','Instância',getdate(),getdate(),2)</v>
      </c>
    </row>
    <row r="157" spans="1:6" x14ac:dyDescent="0.25">
      <c r="A157">
        <v>2157</v>
      </c>
      <c r="B157" s="2">
        <v>2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Values(2157,'2157','SearchByInstanceName-Label','Por Nome da Instância',getdate(),getdate(),2)</v>
      </c>
    </row>
    <row r="158" spans="1:6" x14ac:dyDescent="0.25">
      <c r="A158">
        <v>2158</v>
      </c>
      <c r="B158" s="2">
        <v>2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Values(2158,'2158','SearchByInstanceName-Description','Pesquisar por Nome da Instância',getdate(),getdate(),2)</v>
      </c>
    </row>
    <row r="159" spans="1:6" x14ac:dyDescent="0.25">
      <c r="A159">
        <v>2159</v>
      </c>
      <c r="B159" s="2">
        <v>2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Values(2159,'2159','SearchByInstanceTypeName-Label','Por Tipo da Instância',getdate(),getdate(),2)</v>
      </c>
    </row>
    <row r="160" spans="1:6" x14ac:dyDescent="0.25">
      <c r="A160">
        <v>2160</v>
      </c>
      <c r="B160" s="2">
        <v>2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Values(2160,'2160','SearchByInstanceTypeName-Description','Pesquisar por Tipo da Instância',getdate(),getdate(),2)</v>
      </c>
    </row>
    <row r="161" spans="1:6" x14ac:dyDescent="0.25">
      <c r="A161">
        <v>2161</v>
      </c>
      <c r="B161" s="2">
        <v>2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Values(2161,'2161','NewInstance-Label','Nova Instância',getdate(),getdate(),2)</v>
      </c>
    </row>
    <row r="162" spans="1:6" x14ac:dyDescent="0.25">
      <c r="A162">
        <v>2162</v>
      </c>
      <c r="B162" s="2">
        <v>2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Values(2162,'2162','NewInstance-Description','Clique aqui para criar uma nova Instância',getdate(),getdate(),2)</v>
      </c>
    </row>
    <row r="163" spans="1:6" x14ac:dyDescent="0.25">
      <c r="A163">
        <v>2163</v>
      </c>
      <c r="B163" s="2">
        <v>2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Values(2163,'2163','InstanceTypeName-Label','Tipo de Instância',getdate(),getdate(),2)</v>
      </c>
    </row>
    <row r="164" spans="1:6" x14ac:dyDescent="0.25">
      <c r="A164">
        <v>2164</v>
      </c>
      <c r="B164" s="2">
        <v>2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Values(2164,'2164','InstanceName-Label','Nome da Instância',getdate(),getdate(),2)</v>
      </c>
    </row>
    <row r="165" spans="1:6" x14ac:dyDescent="0.25">
      <c r="A165">
        <v>2165</v>
      </c>
      <c r="B165" s="2">
        <v>2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Values(2165,'2165','InstanceRecord-Label','Dados da Instância',getdate(),getdate(),2)</v>
      </c>
    </row>
    <row r="166" spans="1:6" x14ac:dyDescent="0.25">
      <c r="A166">
        <v>2166</v>
      </c>
      <c r="B166" s="2">
        <v>2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Values(2166,'2166','SaveInstanceButton-Label','Salvar Instância',getdate(),getdate(),2)</v>
      </c>
    </row>
    <row r="167" spans="1:6" x14ac:dyDescent="0.25">
      <c r="A167">
        <v>2167</v>
      </c>
      <c r="B167" s="2">
        <v>2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Values(2167,'2167','SaveInstanceButton-Description','Clque aqui para salvar a Instância',getdate(),getdate(),2)</v>
      </c>
    </row>
    <row r="168" spans="1:6" x14ac:dyDescent="0.25">
      <c r="A168">
        <v>2168</v>
      </c>
      <c r="B168" s="2">
        <v>2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Values(2168,'2168','DataLog-PageTitle','Log de Dados',getdate(),getdate(),2)</v>
      </c>
    </row>
    <row r="169" spans="1:6" x14ac:dyDescent="0.25">
      <c r="A169">
        <v>2169</v>
      </c>
      <c r="B169" s="2">
        <v>2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Values(2169,'2169','SearchByOperationType-Label','Por Tipo de Operação',getdate(),getdate(),2)</v>
      </c>
    </row>
    <row r="170" spans="1:6" x14ac:dyDescent="0.25">
      <c r="A170">
        <v>2170</v>
      </c>
      <c r="B170" s="2">
        <v>2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Values(2170,'2170','SearchByObject-Label','Por Objeto',getdate(),getdate(),2)</v>
      </c>
    </row>
    <row r="171" spans="1:6" x14ac:dyDescent="0.25">
      <c r="A171">
        <v>2171</v>
      </c>
      <c r="B171" s="2">
        <v>2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Values(2171,'2171','SearchByIntervalDate-Label','Por Intervalo de Datas',getdate(),getdate(),2)</v>
      </c>
    </row>
    <row r="172" spans="1:6" x14ac:dyDescent="0.25">
      <c r="A172">
        <v>2172</v>
      </c>
      <c r="B172" s="2">
        <v>2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Values(2172,'2172','SearchByInicialDate-Label','Data Inicial',getdate(),getdate(),2)</v>
      </c>
    </row>
    <row r="173" spans="1:6" x14ac:dyDescent="0.25">
      <c r="A173">
        <v>2173</v>
      </c>
      <c r="B173" s="2">
        <v>2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Values(2173,'2173','SearchByFinalDate-Label','Data Final',getdate(),getdate(),2)</v>
      </c>
    </row>
    <row r="174" spans="1:6" x14ac:dyDescent="0.25">
      <c r="A174">
        <v>2174</v>
      </c>
      <c r="B174" s="2">
        <v>2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Values(2174,'2174','SearchByRecordID-Label','Por ID do Registro',getdate(),getdate(),2)</v>
      </c>
    </row>
    <row r="175" spans="1:6" x14ac:dyDescent="0.25">
      <c r="A175">
        <v>2175</v>
      </c>
      <c r="B175" s="2">
        <v>2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Values(2175,'2175','TableName-Label','Tabela',getdate(),getdate(),2)</v>
      </c>
    </row>
    <row r="176" spans="1:6" x14ac:dyDescent="0.25">
      <c r="A176">
        <v>2176</v>
      </c>
      <c r="B176" s="2">
        <v>2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Values(2176,'2176','OperationText-Label','Operação',getdate(),getdate(),2)</v>
      </c>
    </row>
    <row r="177" spans="1:6" x14ac:dyDescent="0.25">
      <c r="A177">
        <v>2177</v>
      </c>
      <c r="B177" s="2">
        <v>2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Values(2177,'2177','LogID-Label','Log ID',getdate(),getdate(),2)</v>
      </c>
    </row>
    <row r="178" spans="1:6" x14ac:dyDescent="0.25">
      <c r="A178">
        <v>2178</v>
      </c>
      <c r="B178" s="2">
        <v>2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Values(2178,'2178','LogInformation-Label','Informação do Log',getdate(),getdate(),2)</v>
      </c>
    </row>
    <row r="179" spans="1:6" x14ac:dyDescent="0.25">
      <c r="A179">
        <v>2179</v>
      </c>
      <c r="B179" s="2">
        <v>2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Values(2179,'2179','ShowTimeLine-Label','Exibir Linha do Tempo',getdate(),getdate(),2)</v>
      </c>
    </row>
    <row r="180" spans="1:6" x14ac:dyDescent="0.25">
      <c r="A180">
        <v>2180</v>
      </c>
      <c r="B180" s="2">
        <v>2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Values(2180,'2180','OldVersionData-Label','Versão Antiga',getdate(),getdate(),2)</v>
      </c>
    </row>
    <row r="181" spans="1:6" x14ac:dyDescent="0.25">
      <c r="A181">
        <v>2181</v>
      </c>
      <c r="B181" s="2">
        <v>2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Values(2181,'2181','HasNoOldVersion-Label','Não existe versão antiga',getdate(),getdate(),2)</v>
      </c>
    </row>
    <row r="182" spans="1:6" x14ac:dyDescent="0.25">
      <c r="A182">
        <v>2182</v>
      </c>
      <c r="B182" s="2">
        <v>2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Values(2182,'2182','CurrentVersionData-Label','Versão Atual',getdate(),getdate(),2)</v>
      </c>
    </row>
    <row r="183" spans="1:6" x14ac:dyDescent="0.25">
      <c r="A183">
        <v>2183</v>
      </c>
      <c r="B183" s="2">
        <v>2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Values(2183,'2183','HasNoCurrentVersion-Label','Não existe versão atual',getdate(),getdate(),2)</v>
      </c>
    </row>
    <row r="184" spans="1:6" x14ac:dyDescent="0.25">
      <c r="A184">
        <v>2184</v>
      </c>
      <c r="B184" s="2">
        <v>2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Values(2184,'2184','RecordTimeLine-Label','Linha do Tempo do Registro',getdate(),getdate(),2)</v>
      </c>
    </row>
    <row r="185" spans="1:6" x14ac:dyDescent="0.25">
      <c r="A185">
        <v>2185</v>
      </c>
      <c r="B185" s="2">
        <v>2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Values(2185,'2185','HasNoTimeLine-Label','Não existe dados da Linha do Tempo',getdate(),getdate(),2)</v>
      </c>
    </row>
    <row r="186" spans="1:6" x14ac:dyDescent="0.25">
      <c r="A186">
        <v>2186</v>
      </c>
      <c r="B186" s="2">
        <v>2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Values(2186,'2186','Localization-PageTitle','Textos de Localização',getdate(),getdate(),2)</v>
      </c>
    </row>
    <row r="187" spans="1:6" x14ac:dyDescent="0.25">
      <c r="A187">
        <v>2187</v>
      </c>
      <c r="B187" s="2">
        <v>2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Values(2187,'2187','SearchByLanguage-Label','Por Linguagem',getdate(),getdate(),2)</v>
      </c>
    </row>
    <row r="188" spans="1:6" x14ac:dyDescent="0.25">
      <c r="A188">
        <v>2188</v>
      </c>
      <c r="B188" s="2">
        <v>2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Values(2188,'2188','SearchByLanguage-Description','Pesquisar por Linguagem',getdate(),getdate(),2)</v>
      </c>
    </row>
    <row r="189" spans="1:6" x14ac:dyDescent="0.25">
      <c r="A189">
        <v>2189</v>
      </c>
      <c r="B189" s="2">
        <v>2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Values(2189,'2189','SearchByLocalizationCode-Label','Por Código',getdate(),getdate(),2)</v>
      </c>
    </row>
    <row r="190" spans="1:6" x14ac:dyDescent="0.25">
      <c r="A190">
        <v>2190</v>
      </c>
      <c r="B190" s="2">
        <v>2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Values(2190,'2190','SearchByLocalizationCode-Description','Pesquisar por Código',getdate(),getdate(),2)</v>
      </c>
    </row>
    <row r="191" spans="1:6" x14ac:dyDescent="0.25">
      <c r="A191">
        <v>2191</v>
      </c>
      <c r="B191" s="2">
        <v>2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Values(2191,'2191','SearchByLocalizationName-Label','Por Nome',getdate(),getdate(),2)</v>
      </c>
    </row>
    <row r="192" spans="1:6" x14ac:dyDescent="0.25">
      <c r="A192">
        <v>2192</v>
      </c>
      <c r="B192" s="2">
        <v>2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Values(2192,'2192','SearchByLocalizationName-Description','Pesquisar por Nome',getdate(),getdate(),2)</v>
      </c>
    </row>
    <row r="193" spans="1:6" x14ac:dyDescent="0.25">
      <c r="A193">
        <v>2193</v>
      </c>
      <c r="B193" s="2">
        <v>2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Values(2193,'2193','SearchByLocalizationText-Label','Por Texto',getdate(),getdate(),2)</v>
      </c>
    </row>
    <row r="194" spans="1:6" x14ac:dyDescent="0.25">
      <c r="A194">
        <v>2194</v>
      </c>
      <c r="B194" s="2">
        <v>2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Values(2194,'2194','SearchByLocalizationText-Description','Pesquisar por Texto',getdate(),getdate(),2)</v>
      </c>
    </row>
    <row r="195" spans="1:6" x14ac:dyDescent="0.25">
      <c r="A195">
        <v>2195</v>
      </c>
      <c r="B195" s="2">
        <v>2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Values(2195,'2195','Language-Label','Linguagem',getdate(),getdate(),2)</v>
      </c>
    </row>
    <row r="196" spans="1:6" x14ac:dyDescent="0.25">
      <c r="A196">
        <v>2196</v>
      </c>
      <c r="B196" s="2">
        <v>2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Values(2196,'2196','LocalizationCode-Label','Código',getdate(),getdate(),2)</v>
      </c>
    </row>
    <row r="197" spans="1:6" x14ac:dyDescent="0.25">
      <c r="A197">
        <v>2197</v>
      </c>
      <c r="B197" s="2">
        <v>2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Values(2197,'2197','LocalizationName-Label','Nome',getdate(),getdate(),2)</v>
      </c>
    </row>
    <row r="198" spans="1:6" x14ac:dyDescent="0.25">
      <c r="A198">
        <v>2198</v>
      </c>
      <c r="B198" s="2">
        <v>2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Values(2198,'2198','LocalizationRecord-Label','Dados do Texto de Localização',getdate(),getdate(),2)</v>
      </c>
    </row>
    <row r="199" spans="1:6" x14ac:dyDescent="0.25">
      <c r="A199">
        <v>2199</v>
      </c>
      <c r="B199" s="2">
        <v>2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Values(2199,'2199','LocalizationText-Label','Texto ',getdate(),getdate(),2)</v>
      </c>
    </row>
    <row r="200" spans="1:6" x14ac:dyDescent="0.25">
      <c r="A200">
        <v>2200</v>
      </c>
      <c r="B200" s="2">
        <v>2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Values(2200,'2200','SaveLocalizationButton-Label','Salvar Texto de Localização',getdate(),getdate(),2)</v>
      </c>
    </row>
    <row r="201" spans="1:6" x14ac:dyDescent="0.25">
      <c r="A201">
        <v>2201</v>
      </c>
      <c r="B201" s="2">
        <v>2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Values(2201,'2201','SaveLocalizationButton-Description','Clique aqui para salvar os dados.',getdate(),getdate(),2)</v>
      </c>
    </row>
    <row r="202" spans="1:6" x14ac:dyDescent="0.25">
      <c r="A202">
        <v>2202</v>
      </c>
      <c r="B202" s="2">
        <v>2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Values(2202,'2202','NewLocalization-Label','Novo Texto de Localização',getdate(),getdate(),2)</v>
      </c>
    </row>
    <row r="203" spans="1:6" x14ac:dyDescent="0.25">
      <c r="A203">
        <v>2203</v>
      </c>
      <c r="B203" s="2">
        <v>2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Values(2203,'2203','ObjectPermission-PageTitle','Objeto de Permissão',getdate(),getdate(),2)</v>
      </c>
    </row>
    <row r="204" spans="1:6" x14ac:dyDescent="0.25">
      <c r="A204">
        <v>2204</v>
      </c>
      <c r="B204" s="2">
        <v>2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Values(2204,'2204','SearchByObjectName-Label','Por Nome',getdate(),getdate(),2)</v>
      </c>
    </row>
    <row r="205" spans="1:6" x14ac:dyDescent="0.25">
      <c r="A205">
        <v>2205</v>
      </c>
      <c r="B205" s="2">
        <v>2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Values(2205,'2205','SearchByObjectName-Description','Pesquisar por Nome',getdate(),getdate(),2)</v>
      </c>
    </row>
    <row r="206" spans="1:6" x14ac:dyDescent="0.25">
      <c r="A206">
        <v>2206</v>
      </c>
      <c r="B206" s="2">
        <v>2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Values(2206,'2206','SearchByObjectCode-Label','Por Código',getdate(),getdate(),2)</v>
      </c>
    </row>
    <row r="207" spans="1:6" x14ac:dyDescent="0.25">
      <c r="A207">
        <v>2207</v>
      </c>
      <c r="B207" s="2">
        <v>2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Values(2207,'2207','SearchByObjectCode-Description','Pesquisar por Código',getdate(),getdate(),2)</v>
      </c>
    </row>
    <row r="208" spans="1:6" x14ac:dyDescent="0.25">
      <c r="A208">
        <v>2208</v>
      </c>
      <c r="B208" s="2">
        <v>2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Values(2208,'2208','NewObject-Label','Novo Objeto de Permissão',getdate(),getdate(),2)</v>
      </c>
    </row>
    <row r="209" spans="1:6" x14ac:dyDescent="0.25">
      <c r="A209">
        <v>2209</v>
      </c>
      <c r="B209" s="2">
        <v>2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Values(2209,'2209','ObjectName-Label','Nome',getdate(),getdate(),2)</v>
      </c>
    </row>
    <row r="210" spans="1:6" x14ac:dyDescent="0.25">
      <c r="A210">
        <v>2210</v>
      </c>
      <c r="B210" s="2">
        <v>2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Values(2210,'2210','ObjectCode-Label','Código',getdate(),getdate(),2)</v>
      </c>
    </row>
    <row r="211" spans="1:6" x14ac:dyDescent="0.25">
      <c r="A211">
        <v>2211</v>
      </c>
      <c r="B211" s="2">
        <v>2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Values(2211,'2211','ObjectPermissionRecord-Label','Dados do Objeto de Permissão',getdate(),getdate(),2)</v>
      </c>
    </row>
    <row r="212" spans="1:6" x14ac:dyDescent="0.25">
      <c r="A212">
        <v>2212</v>
      </c>
      <c r="B212" s="2">
        <v>2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Values(2212,'2212','SaveObjectPermissionButton-Label','Salvar Objeto de Permissão',getdate(),getdate(),2)</v>
      </c>
    </row>
    <row r="213" spans="1:6" x14ac:dyDescent="0.25">
      <c r="A213">
        <v>2213</v>
      </c>
      <c r="B213" s="2">
        <v>2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Values(2213,'2213','SaveObjectPermissionButton-Description','Clique aqui para salvar o Objeto de Permissão',getdate(),getdate(),2)</v>
      </c>
    </row>
    <row r="214" spans="1:6" x14ac:dyDescent="0.25">
      <c r="A214">
        <v>2214</v>
      </c>
      <c r="B214" s="2">
        <v>2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Values(2214,'2214','Permission-PageTitle','Permissões',getdate(),getdate(),2)</v>
      </c>
    </row>
    <row r="215" spans="1:6" x14ac:dyDescent="0.25">
      <c r="A215">
        <v>2215</v>
      </c>
      <c r="B215" s="2">
        <v>2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Values(2215,'2215','SearchByObjectPermission-Label','Por Objeto de Permissão',getdate(),getdate(),2)</v>
      </c>
    </row>
    <row r="216" spans="1:6" x14ac:dyDescent="0.25">
      <c r="A216">
        <v>2216</v>
      </c>
      <c r="B216" s="2">
        <v>2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Values(2216,'2216','SearchByRole-Label','Por Perfil',getdate(),getdate(),2)</v>
      </c>
    </row>
    <row r="217" spans="1:6" x14ac:dyDescent="0.25">
      <c r="A217">
        <v>2217</v>
      </c>
      <c r="B217" s="2">
        <v>2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Values(2217,'2217','SearchByUser-Label','Por Usuário',getdate(),getdate(),2)</v>
      </c>
    </row>
    <row r="218" spans="1:6" x14ac:dyDescent="0.25">
      <c r="A218">
        <v>2218</v>
      </c>
      <c r="B218" s="2">
        <v>2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Values(2218,'2218','NewPermission-Label','Nova Permissão',getdate(),getdate(),2)</v>
      </c>
    </row>
    <row r="219" spans="1:6" x14ac:dyDescent="0.25">
      <c r="A219">
        <v>2219</v>
      </c>
      <c r="B219" s="2">
        <v>2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Values(2219,'2219','NewPermission-Description','Clique aqui para inserir uma nova Permissão',getdate(),getdate(),2)</v>
      </c>
    </row>
    <row r="220" spans="1:6" x14ac:dyDescent="0.25">
      <c r="A220">
        <v>2220</v>
      </c>
      <c r="B220" s="2">
        <v>2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Values(2220,'2220','ObjectName-Label','Objeto de Permissão',getdate(),getdate(),2)</v>
      </c>
    </row>
    <row r="221" spans="1:6" x14ac:dyDescent="0.25">
      <c r="A221">
        <v>2221</v>
      </c>
      <c r="B221" s="2">
        <v>2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Values(2221,'2221','RoleName-Label','Perfil',getdate(),getdate(),2)</v>
      </c>
    </row>
    <row r="222" spans="1:6" x14ac:dyDescent="0.25">
      <c r="A222">
        <v>2222</v>
      </c>
      <c r="B222" s="2">
        <v>2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Values(2222,'2222','PermissionRecord-Label','Dados da Permissão',getdate(),getdate(),2)</v>
      </c>
    </row>
    <row r="223" spans="1:6" x14ac:dyDescent="0.25">
      <c r="A223">
        <v>2223</v>
      </c>
      <c r="B223" s="2">
        <v>2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Values(2223,'2223','PermissionType-Label','Tipo de Permissão',getdate(),getdate(),2)</v>
      </c>
    </row>
    <row r="224" spans="1:6" x14ac:dyDescent="0.25">
      <c r="A224">
        <v>2224</v>
      </c>
      <c r="B224" s="2">
        <v>2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Values(2224,'2224','ReadStatus-Label','Status de Leitura',getdate(),getdate(),2)</v>
      </c>
    </row>
    <row r="225" spans="1:6" x14ac:dyDescent="0.25">
      <c r="A225">
        <v>2225</v>
      </c>
      <c r="B225" s="2">
        <v>2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Values(2225,'2225','SaveStatus-Label','Status de Gravação',getdate(),getdate(),2)</v>
      </c>
    </row>
    <row r="226" spans="1:6" x14ac:dyDescent="0.25">
      <c r="A226">
        <v>2226</v>
      </c>
      <c r="B226" s="2">
        <v>2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Values(2226,'2226','DeleteStatus-Label','Status de Exclusão',getdate(),getdate(),2)</v>
      </c>
    </row>
    <row r="227" spans="1:6" x14ac:dyDescent="0.25">
      <c r="A227">
        <v>2227</v>
      </c>
      <c r="B227" s="2">
        <v>2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Values(2227,'2227','SavePermissionButton-Label','Salvar Permissão',getdate(),getdate(),2)</v>
      </c>
    </row>
    <row r="228" spans="1:6" x14ac:dyDescent="0.25">
      <c r="A228">
        <v>2228</v>
      </c>
      <c r="B228" s="2">
        <v>2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Values(2228,'2228','SavePermissionButton-Description','Clique aqui para salvar a Permissão',getdate(),getdate(),2)</v>
      </c>
    </row>
    <row r="229" spans="1:6" x14ac:dyDescent="0.25">
      <c r="A229">
        <v>2229</v>
      </c>
      <c r="B229" s="2">
        <v>2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Values(2229,'2229','Role-PageTitle','Perfil',getdate(),getdate(),2)</v>
      </c>
    </row>
    <row r="230" spans="1:6" x14ac:dyDescent="0.25">
      <c r="A230">
        <v>2230</v>
      </c>
      <c r="B230" s="2">
        <v>2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Values(2230,'2230','SearchByRoleName-Label','Por Nome do Perfil',getdate(),getdate(),2)</v>
      </c>
    </row>
    <row r="231" spans="1:6" x14ac:dyDescent="0.25">
      <c r="A231">
        <v>2231</v>
      </c>
      <c r="B231" s="2">
        <v>2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Values(2231,'2231','SearchByRoleName-Description','Pesquisar por Nome do Perfil',getdate(),getdate(),2)</v>
      </c>
    </row>
    <row r="232" spans="1:6" x14ac:dyDescent="0.25">
      <c r="A232">
        <v>2232</v>
      </c>
      <c r="B232" s="2">
        <v>2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Values(2232,'2232','NewRole-Label','Novo Perfil',getdate(),getdate(),2)</v>
      </c>
    </row>
    <row r="233" spans="1:6" x14ac:dyDescent="0.25">
      <c r="A233">
        <v>2233</v>
      </c>
      <c r="B233" s="2">
        <v>2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Values(2233,'2233','NewRole-Description','Clique aqui para criar um novo Perfil',getdate(),getdate(),2)</v>
      </c>
    </row>
    <row r="234" spans="1:6" x14ac:dyDescent="0.25">
      <c r="A234">
        <v>2234</v>
      </c>
      <c r="B234" s="2">
        <v>2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Values(2234,'2234','RoleName-Label','Nome do Perfil',getdate(),getdate(),2)</v>
      </c>
    </row>
    <row r="235" spans="1:6" x14ac:dyDescent="0.25">
      <c r="A235">
        <v>2235</v>
      </c>
      <c r="B235" s="2">
        <v>2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Values(2235,'2235','RoleRecord-Label','Dados do Perfil',getdate(),getdate(),2)</v>
      </c>
    </row>
    <row r="236" spans="1:6" x14ac:dyDescent="0.25">
      <c r="A236">
        <v>2236</v>
      </c>
      <c r="B236" s="2">
        <v>2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Values(2236,'2236','SaveRoleButton-Label','Salvar Perfil',getdate(),getdate(),2)</v>
      </c>
    </row>
    <row r="237" spans="1:6" x14ac:dyDescent="0.25">
      <c r="A237">
        <v>2237</v>
      </c>
      <c r="B237" s="2">
        <v>2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Values(2237,'2237','SaveRoleButton-Description','Clique aqui para salvar o Perfil',getdate(),getdate(),2)</v>
      </c>
    </row>
    <row r="238" spans="1:6" x14ac:dyDescent="0.25">
      <c r="A238">
        <v>2238</v>
      </c>
      <c r="B238" s="2">
        <v>2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Values(2238,'2238','SessionLog-PageTitle','Dados de Sessão',getdate(),getdate(),2)</v>
      </c>
    </row>
    <row r="239" spans="1:6" x14ac:dyDescent="0.25">
      <c r="A239">
        <v>2239</v>
      </c>
      <c r="B239" s="2">
        <v>2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Values(2239,'2239','SearchByEmail-Description','Pesquisar por E-mail',getdate(),getdate(),2)</v>
      </c>
    </row>
    <row r="240" spans="1:6" x14ac:dyDescent="0.25">
      <c r="A240">
        <v>2240</v>
      </c>
      <c r="B240" s="2">
        <v>2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Values(2240,'2240','SearchByDateInterval-Label','Por Intervalo de Dados',getdate(),getdate(),2)</v>
      </c>
    </row>
    <row r="241" spans="1:6" x14ac:dyDescent="0.25">
      <c r="A241">
        <v>2241</v>
      </c>
      <c r="B241" s="2">
        <v>2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Values(2241,'2241','SearchByInicialDate-Label','Data Inicial',getdate(),getdate(),2)</v>
      </c>
    </row>
    <row r="242" spans="1:6" x14ac:dyDescent="0.25">
      <c r="A242">
        <v>2242</v>
      </c>
      <c r="B242" s="2">
        <v>2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Values(2242,'2242','SearchByFinalDate-Label','Data Final',getdate(),getdate(),2)</v>
      </c>
    </row>
    <row r="243" spans="1:6" x14ac:dyDescent="0.25">
      <c r="A243">
        <v>2243</v>
      </c>
      <c r="B243" s="2">
        <v>2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Values(2243,'2243','AccessDate-Label','Data de Acesso',getdate(),getdate(),2)</v>
      </c>
    </row>
    <row r="244" spans="1:6" x14ac:dyDescent="0.25">
      <c r="A244">
        <v>2244</v>
      </c>
      <c r="B244" s="2">
        <v>2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Values(2244,'2244','IP-Label','IP',getdate(),getdate(),2)</v>
      </c>
    </row>
    <row r="245" spans="1:6" x14ac:dyDescent="0.25">
      <c r="A245">
        <v>2245</v>
      </c>
      <c r="B245" s="2">
        <v>2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Values(2245,'2245','SuperAdmin-MenuText','Super Admin',getdate(),getdate(),2)</v>
      </c>
    </row>
    <row r="246" spans="1:6" x14ac:dyDescent="0.25">
      <c r="A246">
        <v>2246</v>
      </c>
      <c r="B246" s="2">
        <v>2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Values(2246,'2246','BasicsData-MenuText','Gerenciamento',getdate(),getdate(),2)</v>
      </c>
    </row>
    <row r="247" spans="1:6" x14ac:dyDescent="0.25">
      <c r="A247">
        <v>2247</v>
      </c>
      <c r="B247" s="2">
        <v>2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Values(2247,'2247','Monitoring-MenuText','Monitoramento',getdate(),getdate(),2)</v>
      </c>
    </row>
    <row r="248" spans="1:6" x14ac:dyDescent="0.25">
      <c r="A248">
        <v>2248</v>
      </c>
      <c r="B248" s="2">
        <v>2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Values(2248,'2248','Instance-MenuText','Instâncias',getdate(),getdate(),2)</v>
      </c>
    </row>
    <row r="249" spans="1:6" x14ac:dyDescent="0.25">
      <c r="A249">
        <v>2249</v>
      </c>
      <c r="B249" s="2">
        <v>2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Values(2249,'2249','Role-MenuText','Perfils',getdate(),getdate(),2)</v>
      </c>
    </row>
    <row r="250" spans="1:6" x14ac:dyDescent="0.25">
      <c r="A250">
        <v>2250</v>
      </c>
      <c r="B250" s="2">
        <v>2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Values(2250,'2250','Users-MenuText','Usuários',getdate(),getdate(),2)</v>
      </c>
    </row>
    <row r="251" spans="1:6" x14ac:dyDescent="0.25">
      <c r="A251">
        <v>2251</v>
      </c>
      <c r="B251" s="2">
        <v>2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Values(2251,'2251','ObjectPermission-MenuText','Objetos de Permissões',getdate(),getdate(),2)</v>
      </c>
    </row>
    <row r="252" spans="1:6" x14ac:dyDescent="0.25">
      <c r="A252">
        <v>2252</v>
      </c>
      <c r="B252" s="2">
        <v>2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Values(2252,'2252','Permissions-MenuText','Permissões',getdate(),getdate(),2)</v>
      </c>
    </row>
    <row r="253" spans="1:6" x14ac:dyDescent="0.25">
      <c r="A253">
        <v>2253</v>
      </c>
      <c r="B253" s="2">
        <v>2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Values(2253,'2253','Localization-MenuText','Textos de Localização',getdate(),getdate(),2)</v>
      </c>
    </row>
    <row r="254" spans="1:6" x14ac:dyDescent="0.25">
      <c r="A254">
        <v>2256</v>
      </c>
      <c r="B254" s="2">
        <v>2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Values(2256,'2256','DataLog-MenuText','Log de Dados',getdate(),getdate(),2)</v>
      </c>
    </row>
    <row r="255" spans="1:6" x14ac:dyDescent="0.25">
      <c r="A255">
        <v>2257</v>
      </c>
      <c r="B255" s="2">
        <v>2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Values(2257,'2257','SessionLog-MenuText','Log de Sessão',getdate(),getdate(),2)</v>
      </c>
    </row>
    <row r="256" spans="1:6" x14ac:dyDescent="0.25">
      <c r="A256">
        <v>2258</v>
      </c>
      <c r="B256" s="2">
        <v>2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Values(2258,'2258','SearchByGroupParameterName-Label','Nome do Grupo de Parâmetro',getdate(),getdate(),2)</v>
      </c>
    </row>
    <row r="257" spans="1:6" x14ac:dyDescent="0.25">
      <c r="A257">
        <v>2259</v>
      </c>
      <c r="B257" s="2">
        <v>2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Values(2259,'2259','SearchByGroupParameterName-Description','Pesquisar por Nome de Grupo de Parâmetro',getdate(),getdate(),2)</v>
      </c>
    </row>
    <row r="258" spans="1:6" x14ac:dyDescent="0.25">
      <c r="A258">
        <v>2260</v>
      </c>
      <c r="B258" s="2">
        <v>2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1" si="13">"insert into sysLocalizationText Values(" &amp;A258 &amp; "," &amp;C258 &amp; "," &amp; D258 &amp; "," &amp; E258 &amp; ",getdate(),getdate()," &amp; B258 &amp; ")"</f>
        <v>insert into sysLocalizationText Values(2260,'2260','NewGroupParameter-Label','Novo Grupo de Parâmetro',getdate(),getdate(),2)</v>
      </c>
    </row>
    <row r="259" spans="1:6" x14ac:dyDescent="0.25">
      <c r="A259">
        <v>2261</v>
      </c>
      <c r="B259" s="2">
        <v>2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Values(2261,'2261','NewGroupParameter-Description','Clique aqui para criar um novo Grupo de Parâmetro ',getdate(),getdate(),2)</v>
      </c>
    </row>
    <row r="260" spans="1:6" x14ac:dyDescent="0.25">
      <c r="A260">
        <v>2262</v>
      </c>
      <c r="B260" s="2">
        <v>2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Values(2262,'2262','GroupParameterRecord-Label','Dados do Grupo de Parâmetro',getdate(),getdate(),2)</v>
      </c>
    </row>
    <row r="261" spans="1:6" x14ac:dyDescent="0.25">
      <c r="A261">
        <v>2263</v>
      </c>
      <c r="B261" s="2">
        <v>2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Values(2263,'2263','GroupParameterName-Label','Nome do Grupo de Parâmetro',getdate(),getdate(),2)</v>
      </c>
    </row>
    <row r="262" spans="1:6" x14ac:dyDescent="0.25">
      <c r="A262">
        <v>2264</v>
      </c>
      <c r="B262" s="2">
        <v>2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Values(2264,'2264','SaveGroupParameterButton-Label','Save Group Parameter',getdate(),getdate(),2)</v>
      </c>
    </row>
    <row r="263" spans="1:6" x14ac:dyDescent="0.25">
      <c r="A263">
        <v>2265</v>
      </c>
      <c r="B263" s="2">
        <v>2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Values(2265,'2265','SaveGroupParameterButton-Description','Clique aqui para salvar o Grupo de Parâmetro',getdate(),getdate(),2)</v>
      </c>
    </row>
    <row r="264" spans="1:6" x14ac:dyDescent="0.25">
      <c r="A264">
        <v>2266</v>
      </c>
      <c r="B264" s="2">
        <v>2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Values(2266,'2266','GroupParameter-PageTitle','Grupo de Parâmetros',getdate(),getdate(),2)</v>
      </c>
    </row>
    <row r="265" spans="1:6" x14ac:dyDescent="0.25">
      <c r="A265">
        <v>2267</v>
      </c>
      <c r="B265" s="2">
        <v>2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Values(2267,'2267','SearchByParameterName-Label','Nome do Parâmetro',getdate(),getdate(),2)</v>
      </c>
    </row>
    <row r="266" spans="1:6" x14ac:dyDescent="0.25">
      <c r="A266">
        <v>2268</v>
      </c>
      <c r="B266" s="2">
        <v>2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Values(2268,'2268','SearchByParameterName-Description','Pesquisar por Nome do Parâmetro',getdate(),getdate(),2)</v>
      </c>
    </row>
    <row r="267" spans="1:6" x14ac:dyDescent="0.25">
      <c r="A267">
        <v>2269</v>
      </c>
      <c r="B267" s="2">
        <v>2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Values(2269,'2269','NewParameter-Label','Novo Parâmetro',getdate(),getdate(),2)</v>
      </c>
    </row>
    <row r="268" spans="1:6" x14ac:dyDescent="0.25">
      <c r="A268">
        <v>2270</v>
      </c>
      <c r="B268" s="2">
        <v>2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Values(2270,'2270','NewParameter-Description','Clique aqui par acriar um novo Parâmetro',getdate(),getdate(),2)</v>
      </c>
    </row>
    <row r="269" spans="1:6" x14ac:dyDescent="0.25">
      <c r="A269">
        <v>2271</v>
      </c>
      <c r="B269" s="2">
        <v>2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Values(2271,'2271','ParameterRecord-Label','Dados do Parâmetro',getdate(),getdate(),2)</v>
      </c>
    </row>
    <row r="270" spans="1:6" x14ac:dyDescent="0.25">
      <c r="A270">
        <v>2272</v>
      </c>
      <c r="B270" s="2">
        <v>2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Values(2272,'2272','ParameterName-Label','Nome do Parâmetro',getdate(),getdate(),2)</v>
      </c>
    </row>
    <row r="271" spans="1:6" x14ac:dyDescent="0.25">
      <c r="A271">
        <v>2273</v>
      </c>
      <c r="B271" s="2">
        <v>2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Values(2273,'2273','SaveParameterButton-Label','Salvar Parâmetro',getdate(),getdate(),2)</v>
      </c>
    </row>
    <row r="272" spans="1:6" x14ac:dyDescent="0.25">
      <c r="A272">
        <v>2274</v>
      </c>
      <c r="B272" s="2">
        <v>2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Values(2274,'2274','SaveParameterButton-Description','Clique aqui para salvar o Parâmetro',getdate(),getdate(),2)</v>
      </c>
    </row>
    <row r="273" spans="1:6" x14ac:dyDescent="0.25">
      <c r="A273">
        <v>2275</v>
      </c>
      <c r="B273" s="2">
        <v>2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Values(2275,'2275','Parameter-PageTitle','Parâmetros',getdate(),getdate(),2)</v>
      </c>
    </row>
    <row r="274" spans="1:6" x14ac:dyDescent="0.25">
      <c r="A274">
        <v>2276</v>
      </c>
      <c r="B274" s="2">
        <v>2</v>
      </c>
      <c r="C274" t="str">
        <f t="shared" si="15"/>
        <v>'2276'</v>
      </c>
      <c r="D274" s="1" t="s">
        <v>150</v>
      </c>
      <c r="E274" s="1" t="s">
        <v>152</v>
      </c>
      <c r="F274" t="str">
        <f t="shared" si="13"/>
        <v>insert into sysLocalizationText Values(2276,'2276','ChangeUserLanguage-Title','Alterar linguagem do usuário',getdate(),getdate(),2)</v>
      </c>
    </row>
    <row r="275" spans="1:6" x14ac:dyDescent="0.25">
      <c r="A275">
        <v>2277</v>
      </c>
      <c r="B275" s="2">
        <v>2</v>
      </c>
      <c r="C275" t="str">
        <f t="shared" si="16"/>
        <v>'2277'</v>
      </c>
      <c r="D275" s="1" t="s">
        <v>151</v>
      </c>
      <c r="E275" s="1" t="s">
        <v>153</v>
      </c>
      <c r="F275" t="str">
        <f t="shared" si="13"/>
        <v>insert into sysLocalizationText Values(2277,'2277','ChangeUserLanguage-Message','A linguagem do usuário foi alterada com sucesso. Faça login novamente.',getdate(),getdate(),2)</v>
      </c>
    </row>
    <row r="276" spans="1:6" x14ac:dyDescent="0.25">
      <c r="A276">
        <v>2278</v>
      </c>
      <c r="B276" s="2">
        <v>2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Values(2278,'2278','ExceptionLog-PageTitle','Log de Exceções',getdate(),getdate(),2)</v>
      </c>
    </row>
    <row r="277" spans="1:6" x14ac:dyDescent="0.25">
      <c r="A277">
        <v>2279</v>
      </c>
      <c r="B277" s="2">
        <v>2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Values(2279,'2279','SearchByOrgin-Label','Pesquisar por Origem',getdate(),getdate(),2)</v>
      </c>
    </row>
    <row r="278" spans="1:6" x14ac:dyDescent="0.25">
      <c r="A278">
        <v>2280</v>
      </c>
      <c r="B278" s="2">
        <v>2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Values(2280,'2280','Origin-Label','Origem',getdate(),getdate(),2)</v>
      </c>
    </row>
    <row r="279" spans="1:6" x14ac:dyDescent="0.25">
      <c r="A279">
        <v>2281</v>
      </c>
      <c r="B279" s="2">
        <v>2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Values(2281,'2281','TargetSite-Label','Local Alvo',getdate(),getdate(),2)</v>
      </c>
    </row>
    <row r="280" spans="1:6" x14ac:dyDescent="0.25">
      <c r="A280">
        <v>2282</v>
      </c>
      <c r="B280" s="2">
        <v>2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Values(2282,'2282','ErrMessage-Label','Messagem de Erro',getdate(),getdate(),2)</v>
      </c>
    </row>
    <row r="281" spans="1:6" x14ac:dyDescent="0.25">
      <c r="A281">
        <v>2283</v>
      </c>
      <c r="B281" s="2">
        <v>2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Values(2283,'2283','StackTrace-Label','Rastreamento da Pilha',getdate(),getdate(),2)</v>
      </c>
    </row>
    <row r="282" spans="1:6" x14ac:dyDescent="0.25">
      <c r="A282">
        <v>2284</v>
      </c>
      <c r="B282" s="2">
        <v>2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Values(2284,'2284','ClientIP-Label','IP do Cliente',getdate(),getdate(),2)</v>
      </c>
    </row>
    <row r="283" spans="1:6" x14ac:dyDescent="0.25">
      <c r="A283">
        <v>2285</v>
      </c>
      <c r="B283" s="2">
        <v>2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Values(2285,'2285','SearchByConfigName-Label','Por Nome Configuração',getdate(),getdate(),2)</v>
      </c>
    </row>
    <row r="284" spans="1:6" x14ac:dyDescent="0.25">
      <c r="A284">
        <v>2286</v>
      </c>
      <c r="B284" s="2">
        <v>2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Values(2286,'2286','SearchByConfigName-Description','Pesquisar por Nome Configuração',getdate(),getdate(),2)</v>
      </c>
    </row>
    <row r="285" spans="1:6" x14ac:dyDescent="0.25">
      <c r="A285">
        <v>2287</v>
      </c>
      <c r="B285" s="2">
        <v>2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Values(2287,'2287','NewConfig-Label','Nova Configguração',getdate(),getdate(),2)</v>
      </c>
    </row>
    <row r="286" spans="1:6" x14ac:dyDescent="0.25">
      <c r="A286">
        <v>2288</v>
      </c>
      <c r="B286" s="2">
        <v>2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Values(2288,'2288','NewConfig-Description','Clique aqui para criar uma nova Configuração',getdate(),getdate(),2)</v>
      </c>
    </row>
    <row r="287" spans="1:6" x14ac:dyDescent="0.25">
      <c r="A287">
        <v>2289</v>
      </c>
      <c r="B287" s="2">
        <v>2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Values(2289,'2289','ConfigName','Nome Configuração',getdate(),getdate(),2)</v>
      </c>
    </row>
    <row r="288" spans="1:6" x14ac:dyDescent="0.25">
      <c r="A288">
        <v>2290</v>
      </c>
      <c r="B288" s="2">
        <v>2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Values(2290,'2290','ConfigRecord-Label','Configurações',getdate(),getdate(),2)</v>
      </c>
    </row>
    <row r="289" spans="1:6" x14ac:dyDescent="0.25">
      <c r="A289">
        <v>2291</v>
      </c>
      <c r="B289" s="2">
        <v>2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Values(2291,'2291','ConfigName-Label','Nome da Configuração',getdate(),getdate(),2)</v>
      </c>
    </row>
    <row r="290" spans="1:6" x14ac:dyDescent="0.25">
      <c r="A290">
        <v>2292</v>
      </c>
      <c r="B290" s="2">
        <v>2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Values(2292,'2292','ConfigValue-Label','Valor da Configuração',getdate(),getdate(),2)</v>
      </c>
    </row>
    <row r="291" spans="1:6" x14ac:dyDescent="0.25">
      <c r="A291">
        <v>2293</v>
      </c>
      <c r="B291" s="2">
        <v>2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Values(2293,'2293','ConfigValue','Valor da Configuração',getdate(),getdate(),2)</v>
      </c>
    </row>
    <row r="292" spans="1:6" x14ac:dyDescent="0.25">
      <c r="A292">
        <v>2294</v>
      </c>
      <c r="B292" s="2">
        <v>2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Values(2294,'2294','SaveConfigButton-Label','Salvar Configuração',getdate(),getdate(),2)</v>
      </c>
    </row>
    <row r="293" spans="1:6" x14ac:dyDescent="0.25">
      <c r="A293">
        <v>2295</v>
      </c>
      <c r="B293" s="2">
        <v>2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Values(2295,'2295','SaveConfigButton-Description','Clique aqui para salvar a Configuração',getdate(),getdate(),2)</v>
      </c>
    </row>
    <row r="294" spans="1:6" x14ac:dyDescent="0.25">
      <c r="A294">
        <v>2296</v>
      </c>
      <c r="B294" s="2">
        <v>2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Values(2296,'2296','Configs-PageTitle','Configurações',getdate(),getdate(),2)</v>
      </c>
    </row>
    <row r="295" spans="1:6" x14ac:dyDescent="0.25">
      <c r="A295">
        <v>2297</v>
      </c>
      <c r="B295" s="2">
        <v>2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Values(2297,'2297','Logout-Label','Sair',getdate(),getdate(),2)</v>
      </c>
    </row>
    <row r="296" spans="1:6" x14ac:dyDescent="0.25">
      <c r="A296">
        <v>2298</v>
      </c>
      <c r="B296" s="2">
        <v>2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Values(2298,'2298','AlterProfileImage-Description','Arraste aqui o arquivo que deseja, ou clique no botão acima para navegar.',getdate(),getdate(),2)</v>
      </c>
    </row>
    <row r="297" spans="1:6" x14ac:dyDescent="0.25">
      <c r="A297">
        <v>2299</v>
      </c>
      <c r="B297" s="2">
        <v>2</v>
      </c>
      <c r="C297" t="str">
        <f t="shared" ref="C297:C336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Values(2299,'2299','Menu-Superadmin','Super Admin',getdate(),getdate(),2)</v>
      </c>
    </row>
    <row r="298" spans="1:6" x14ac:dyDescent="0.25">
      <c r="A298">
        <v>2300</v>
      </c>
      <c r="B298" s="2">
        <v>2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Values(2300,'2300','Menu-Configs','Configs de Negócio',getdate(),getdate(),2)</v>
      </c>
    </row>
    <row r="299" spans="1:6" x14ac:dyDescent="0.25">
      <c r="A299">
        <v>2301</v>
      </c>
      <c r="B299" s="2">
        <v>2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Values(2301,'2301','Menu-Instance','Instâncias',getdate(),getdate(),2)</v>
      </c>
    </row>
    <row r="300" spans="1:6" x14ac:dyDescent="0.25">
      <c r="A300">
        <v>2302</v>
      </c>
      <c r="B300" s="2">
        <v>2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Values(2302,'2302','Menu-Roles','Roles',getdate(),getdate(),2)</v>
      </c>
    </row>
    <row r="301" spans="1:6" x14ac:dyDescent="0.25">
      <c r="A301">
        <v>2303</v>
      </c>
      <c r="B301" s="2">
        <v>2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Values(2303,'2303','Menu-ObjectPermissions','Objetos de Permissões',getdate(),getdate(),2)</v>
      </c>
    </row>
    <row r="302" spans="1:6" x14ac:dyDescent="0.25">
      <c r="A302">
        <v>2304</v>
      </c>
      <c r="B302" s="2">
        <v>2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Values(2304,'2304','Menu-Permissions','Permissões',getdate(),getdate(),2)</v>
      </c>
    </row>
    <row r="303" spans="1:6" x14ac:dyDescent="0.25">
      <c r="A303">
        <v>2305</v>
      </c>
      <c r="B303" s="2">
        <v>2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Values(2305,'2305','Menu-Users','Usuários',getdate(),getdate(),2)</v>
      </c>
    </row>
    <row r="304" spans="1:6" x14ac:dyDescent="0.25">
      <c r="A304">
        <v>2306</v>
      </c>
      <c r="B304" s="2">
        <v>2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Values(2306,'2306','Menu-LocalizationTexts','Textos de Localização',getdate(),getdate(),2)</v>
      </c>
    </row>
    <row r="305" spans="1:6" x14ac:dyDescent="0.25">
      <c r="A305">
        <v>2307</v>
      </c>
      <c r="B305" s="2">
        <v>2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Values(2307,'2307','Menu-GroupParameters','Grupo de Parâmetros',getdate(),getdate(),2)</v>
      </c>
    </row>
    <row r="306" spans="1:6" x14ac:dyDescent="0.25">
      <c r="A306">
        <v>2308</v>
      </c>
      <c r="B306" s="2">
        <v>2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Values(2308,'2308','Menu-Parameters','Parâmetros',getdate(),getdate(),2)</v>
      </c>
    </row>
    <row r="307" spans="1:6" x14ac:dyDescent="0.25">
      <c r="A307">
        <v>2309</v>
      </c>
      <c r="B307" s="2">
        <v>2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Values(2309,'2309','Menu-Monitoring','Monitoramento',getdate(),getdate(),2)</v>
      </c>
    </row>
    <row r="308" spans="1:6" x14ac:dyDescent="0.25">
      <c r="A308">
        <v>2310</v>
      </c>
      <c r="B308" s="2">
        <v>2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Values(2310,'2310','Menu-SessionLog','Logs de Acessos',getdate(),getdate(),2)</v>
      </c>
    </row>
    <row r="309" spans="1:6" x14ac:dyDescent="0.25">
      <c r="A309">
        <v>2311</v>
      </c>
      <c r="B309" s="2">
        <v>2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Values(2311,'2311','Menu-DataLog','Logs de Dados',getdate(),getdate(),2)</v>
      </c>
    </row>
    <row r="310" spans="1:6" x14ac:dyDescent="0.25">
      <c r="A310">
        <v>2312</v>
      </c>
      <c r="B310" s="2">
        <v>2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Values(2312,'2312','Menu-ExceptionLog','Logs de Erros',getdate(),getdate(),2)</v>
      </c>
    </row>
    <row r="311" spans="1:6" x14ac:dyDescent="0.25">
      <c r="A311">
        <v>2313</v>
      </c>
      <c r="B311" s="2">
        <v>2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Values(2313,'2313','Editing-Label','Editando',getdate(),getdate(),2)</v>
      </c>
    </row>
    <row r="312" spans="1:6" x14ac:dyDescent="0.25">
      <c r="A312">
        <v>2314</v>
      </c>
      <c r="B312" s="2">
        <v>2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Values(2314,'2314','Inserting-Label','Inserindo',getdate(),getdate(),2)</v>
      </c>
    </row>
    <row r="313" spans="1:6" x14ac:dyDescent="0.25">
      <c r="A313">
        <v>2315</v>
      </c>
      <c r="B313" s="2">
        <v>2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Values(2315,'2315','RemoveConfirmation-Label','Deseja realmente remover este registro?',getdate(),getdate(),2)</v>
      </c>
    </row>
    <row r="314" spans="1:6" x14ac:dyDescent="0.25">
      <c r="A314">
        <v>2316</v>
      </c>
      <c r="B314" s="2">
        <v>2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Values(2316,'2316','RemoveConfirmation-Message','O registro foi removido com sucesso.',getdate(),getdate(),2)</v>
      </c>
    </row>
    <row r="315" spans="1:6" x14ac:dyDescent="0.25">
      <c r="A315">
        <v>2317</v>
      </c>
      <c r="B315" s="2">
        <v>2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Values(2317,'2317','AllowRead-Label','Ler',getdate(),getdate(),2)</v>
      </c>
    </row>
    <row r="316" spans="1:6" x14ac:dyDescent="0.25">
      <c r="A316">
        <v>2318</v>
      </c>
      <c r="B316" s="2">
        <v>2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Values(2318,'2318','AllowSave-Label','Salvar',getdate(),getdate(),2)</v>
      </c>
    </row>
    <row r="317" spans="1:6" x14ac:dyDescent="0.25">
      <c r="A317">
        <v>2319</v>
      </c>
      <c r="B317" s="2">
        <v>2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Values(2319,'2319','AllowDelete-Label','Remover',getdate(),getdate(),2)</v>
      </c>
    </row>
    <row r="318" spans="1:6" x14ac:dyDescent="0.25">
      <c r="A318">
        <v>2320</v>
      </c>
      <c r="B318" s="2">
        <v>2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Values(2320,'2320','InsertOperation-Text','Inserção',getdate(),getdate(),2)</v>
      </c>
    </row>
    <row r="319" spans="1:6" x14ac:dyDescent="0.25">
      <c r="A319">
        <v>2321</v>
      </c>
      <c r="B319" s="2">
        <v>2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Values(2321,'2321','UpdateOperation-Text','Edição',getdate(),getdate(),2)</v>
      </c>
    </row>
    <row r="320" spans="1:6" x14ac:dyDescent="0.25">
      <c r="A320">
        <v>2322</v>
      </c>
      <c r="B320" s="2">
        <v>2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Values(2322,'2322','DeleteOperation-Text','Exclusão',getdate(),getdate(),2)</v>
      </c>
    </row>
    <row r="321" spans="1:6" x14ac:dyDescent="0.25">
      <c r="A321">
        <v>2323</v>
      </c>
      <c r="B321" s="2">
        <v>2</v>
      </c>
      <c r="C321" t="str">
        <f t="shared" si="18"/>
        <v>'2323'</v>
      </c>
      <c r="D321" t="str">
        <f>$N$1 &amp; "NewLanguage-Label" &amp; $N$1</f>
        <v>'NewLanguage-Label'</v>
      </c>
      <c r="E321" t="str">
        <f>$N$1 &amp; "Nova Linguagem" &amp; $N$1</f>
        <v>'Nova Linguagem'</v>
      </c>
      <c r="F321" t="str">
        <f t="shared" si="13"/>
        <v>insert into sysLocalizationText Values(2323,'2323','NewLanguage-Label','Nova Linguagem',getdate(),getdate(),2)</v>
      </c>
    </row>
    <row r="322" spans="1:6" x14ac:dyDescent="0.25">
      <c r="A322">
        <v>2324</v>
      </c>
      <c r="B322" s="2">
        <v>2</v>
      </c>
      <c r="C322" t="str">
        <f t="shared" si="18"/>
        <v>'2324'</v>
      </c>
      <c r="D322" t="str">
        <f>$N$1 &amp; "SaveLanguageButton-Label" &amp; $N$1</f>
        <v>'SaveLanguageButton-Label'</v>
      </c>
      <c r="E322" t="str">
        <f>$N$1 &amp; "Salvar Linguagem" &amp; $N$1</f>
        <v>'Salvar Linguagem'</v>
      </c>
      <c r="F322" t="str">
        <f t="shared" ref="F322:F346" si="19">"insert into sysLocalizationText Values(" &amp;A322 &amp; "," &amp;C322 &amp; "," &amp; D322 &amp; "," &amp; E322 &amp; ",getdate(),getdate()," &amp; B322 &amp; ")"</f>
        <v>insert into sysLocalizationText Values(2324,'2324','SaveLanguageButton-Label','Salvar Linguagem',getdate(),getdate(),2)</v>
      </c>
    </row>
    <row r="323" spans="1:6" x14ac:dyDescent="0.25">
      <c r="A323">
        <v>2325</v>
      </c>
      <c r="B323" s="2">
        <v>2</v>
      </c>
      <c r="C323" t="str">
        <f t="shared" si="18"/>
        <v>'2325'</v>
      </c>
      <c r="D323" t="str">
        <f>$N$1 &amp; "SearchByLanguageName-Label" &amp; $N$1</f>
        <v>'SearchByLanguageName-Label'</v>
      </c>
      <c r="E323" t="str">
        <f>$N$1 &amp; "Por Nome da Linguagem" &amp; $N$1</f>
        <v>'Por Nome da Linguagem'</v>
      </c>
      <c r="F323" t="str">
        <f t="shared" si="19"/>
        <v>insert into sysLocalizationText Values(2325,'2325','SearchByLanguageName-Label','Por Nome da Linguagem',getdate(),getdate(),2)</v>
      </c>
    </row>
    <row r="324" spans="1:6" x14ac:dyDescent="0.25">
      <c r="A324">
        <v>2326</v>
      </c>
      <c r="B324" s="2">
        <v>2</v>
      </c>
      <c r="C324" t="str">
        <f t="shared" si="18"/>
        <v>'2326'</v>
      </c>
      <c r="D324" t="str">
        <f>$N$1 &amp; "LanguageName-Label" &amp; $N$1</f>
        <v>'LanguageName-Label'</v>
      </c>
      <c r="E324" t="str">
        <f>$N$1 &amp; "Nome da Linguagem" &amp; $N$1</f>
        <v>'Nome da Linguagem'</v>
      </c>
      <c r="F324" t="str">
        <f t="shared" si="19"/>
        <v>insert into sysLocalizationText Values(2326,'2326','LanguageName-Label','Nome da Linguagem',getdate(),getdate(),2)</v>
      </c>
    </row>
    <row r="325" spans="1:6" x14ac:dyDescent="0.25">
      <c r="A325">
        <v>2327</v>
      </c>
      <c r="B325" s="2">
        <v>2</v>
      </c>
      <c r="C325" t="str">
        <f t="shared" si="18"/>
        <v>'2327'</v>
      </c>
      <c r="D325" t="str">
        <f>$N$1 &amp; "Description-Label" &amp; $N$1</f>
        <v>'Description-Label'</v>
      </c>
      <c r="E325" t="str">
        <f>$N$1 &amp; "Descrição" &amp; $N$1</f>
        <v>'Descrição'</v>
      </c>
      <c r="F325" t="str">
        <f t="shared" si="19"/>
        <v>insert into sysLocalizationText Values(2327,'2327','Description-Label','Descrição',getdate(),getdate(),2)</v>
      </c>
    </row>
    <row r="326" spans="1:6" x14ac:dyDescent="0.25">
      <c r="A326">
        <v>2328</v>
      </c>
      <c r="B326" s="2">
        <v>2</v>
      </c>
      <c r="C326" t="str">
        <f t="shared" si="18"/>
        <v>'2328'</v>
      </c>
      <c r="D326" t="str">
        <f>$N$1 &amp; "Language-PageTitle" &amp; $N$1</f>
        <v>'Language-PageTitle'</v>
      </c>
      <c r="E326" t="str">
        <f>$N$1 &amp; "Linguagem" &amp; $N$1</f>
        <v>'Linguagem'</v>
      </c>
      <c r="F326" t="str">
        <f t="shared" si="19"/>
        <v>insert into sysLocalizationText Values(2328,'2328','Language-PageTitle','Linguagem',getdate(),getdate(),2)</v>
      </c>
    </row>
    <row r="327" spans="1:6" x14ac:dyDescent="0.25">
      <c r="A327">
        <v>2329</v>
      </c>
      <c r="B327" s="2">
        <v>2</v>
      </c>
      <c r="C327" t="str">
        <f t="shared" si="18"/>
        <v>'2329'</v>
      </c>
      <c r="D327" t="str">
        <f>$N$1 &amp; "Menu-Language" &amp; $N$1</f>
        <v>'Menu-Language'</v>
      </c>
      <c r="E327" t="str">
        <f>$N$1 &amp; "Linguagens" &amp; $N$1</f>
        <v>'Linguagens'</v>
      </c>
      <c r="F327" t="str">
        <f t="shared" si="19"/>
        <v>insert into sysLocalizationText Values(2329,'2329','Menu-Language','Linguagens',getdate(),getdate(),2)</v>
      </c>
    </row>
    <row r="328" spans="1:6" x14ac:dyDescent="0.25">
      <c r="A328">
        <v>2330</v>
      </c>
      <c r="B328" s="2">
        <v>2</v>
      </c>
      <c r="C328" t="str">
        <f t="shared" si="18"/>
        <v>'2330'</v>
      </c>
      <c r="D328" t="str">
        <f>$N$1 &amp; "Person-PageTitle" &amp; $N$1</f>
        <v>'Person-PageTitle'</v>
      </c>
      <c r="E328" t="str">
        <f>$N$1 &amp; "Pessoa" &amp; $N$1</f>
        <v>'Pessoa'</v>
      </c>
      <c r="F328" t="str">
        <f t="shared" si="19"/>
        <v>insert into sysLocalizationText Values(2330,'2330','Person-PageTitle','Pessoa',getdate(),getdate(),2)</v>
      </c>
    </row>
    <row r="329" spans="1:6" x14ac:dyDescent="0.25">
      <c r="A329">
        <v>2331</v>
      </c>
      <c r="B329" s="2">
        <v>2</v>
      </c>
      <c r="C329" t="str">
        <f t="shared" si="18"/>
        <v>'2331'</v>
      </c>
      <c r="D329" t="str">
        <f>$N$1 &amp; "Menu-Admin" &amp; $N$1</f>
        <v>'Menu-Admin'</v>
      </c>
      <c r="E329" t="str">
        <f>$N$1 &amp; "Administração" &amp; $N$1</f>
        <v>'Administração'</v>
      </c>
      <c r="F329" t="str">
        <f t="shared" si="19"/>
        <v>insert into sysLocalizationText Values(2331,'2331','Menu-Admin','Administração',getdate(),getdate(),2)</v>
      </c>
    </row>
    <row r="330" spans="1:6" x14ac:dyDescent="0.25">
      <c r="A330">
        <v>2332</v>
      </c>
      <c r="B330" s="2">
        <v>2</v>
      </c>
      <c r="C330" t="str">
        <f t="shared" si="18"/>
        <v>'2332'</v>
      </c>
      <c r="D330" t="str">
        <f>$N$1 &amp; "Menu-Person" &amp; $N$1</f>
        <v>'Menu-Person'</v>
      </c>
      <c r="E330" t="str">
        <f>$N$1 &amp; "Pessoa" &amp; $N$1</f>
        <v>'Pessoa'</v>
      </c>
      <c r="F330" t="str">
        <f t="shared" si="19"/>
        <v>insert into sysLocalizationText Values(2332,'2332','Menu-Person','Pessoa',getdate(),getdate(),2)</v>
      </c>
    </row>
    <row r="331" spans="1:6" x14ac:dyDescent="0.25">
      <c r="A331">
        <v>2333</v>
      </c>
      <c r="B331" s="2">
        <v>2</v>
      </c>
      <c r="C331" t="str">
        <f t="shared" si="18"/>
        <v>'2333'</v>
      </c>
      <c r="D331" t="str">
        <f>$N$1 &amp; "NewPerson-Label" &amp; $N$1</f>
        <v>'NewPerson-Label'</v>
      </c>
      <c r="E331" t="str">
        <f>$N$1 &amp; "Nova Pessoa" &amp; $N$1</f>
        <v>'Nova Pessoa'</v>
      </c>
      <c r="F331" t="str">
        <f t="shared" si="19"/>
        <v>insert into sysLocalizationText Values(2333,'2333','NewPerson-Label','Nova Pessoa',getdate(),getdate(),2)</v>
      </c>
    </row>
    <row r="332" spans="1:6" x14ac:dyDescent="0.25">
      <c r="A332">
        <v>2334</v>
      </c>
      <c r="B332" s="2">
        <v>2</v>
      </c>
      <c r="C332" t="str">
        <f t="shared" si="18"/>
        <v>'2334'</v>
      </c>
      <c r="D332" t="str">
        <f>$N$1 &amp; "SavePersonButton-Label" &amp; $N$1</f>
        <v>'SavePersonButton-Label'</v>
      </c>
      <c r="E332" t="str">
        <f>$N$1 &amp; "Salvar Pessoa" &amp; $N$1</f>
        <v>'Salvar Pessoa'</v>
      </c>
      <c r="F332" t="str">
        <f t="shared" si="19"/>
        <v>insert into sysLocalizationText Values(2334,'2334','SavePersonButton-Label','Salvar Pessoa',getdate(),getdate(),2)</v>
      </c>
    </row>
    <row r="333" spans="1:6" x14ac:dyDescent="0.25">
      <c r="A333">
        <v>2335</v>
      </c>
      <c r="B333" s="2">
        <v>2</v>
      </c>
      <c r="C333" t="str">
        <f t="shared" si="18"/>
        <v>'2335'</v>
      </c>
      <c r="D333" t="str">
        <f>$N$1 &amp; "SearchByPersonName-Label" &amp; $N$1</f>
        <v>'SearchByPersonName-Label'</v>
      </c>
      <c r="E333" t="str">
        <f>$N$1 &amp; "Por Nome Pessoa" &amp; $N$1</f>
        <v>'Por Nome Pessoa'</v>
      </c>
      <c r="F333" t="str">
        <f t="shared" si="19"/>
        <v>insert into sysLocalizationText Values(2335,'2335','SearchByPersonName-Label','Por Nome Pessoa',getdate(),getdate(),2)</v>
      </c>
    </row>
    <row r="334" spans="1:6" x14ac:dyDescent="0.25">
      <c r="A334">
        <v>2336</v>
      </c>
      <c r="B334" s="2">
        <v>2</v>
      </c>
      <c r="C334" t="str">
        <f t="shared" si="18"/>
        <v>'2336'</v>
      </c>
      <c r="D334" t="str">
        <f>$N$1 &amp; "PersonName-Label" &amp; $N$1</f>
        <v>'PersonName-Label'</v>
      </c>
      <c r="E334" t="str">
        <f>$N$1 &amp; "Nome Pessoa" &amp; $N$1</f>
        <v>'Nome Pessoa'</v>
      </c>
      <c r="F334" t="str">
        <f t="shared" si="19"/>
        <v>insert into sysLocalizationText Values(2336,'2336','PersonName-Label','Nome Pessoa',getdate(),getdate(),2)</v>
      </c>
    </row>
    <row r="335" spans="1:6" x14ac:dyDescent="0.25">
      <c r="A335">
        <v>2337</v>
      </c>
      <c r="B335" s="2">
        <v>2</v>
      </c>
      <c r="C335" t="str">
        <f t="shared" si="18"/>
        <v>'2337'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si="19"/>
        <v>insert into sysLocalizationText Values(2337,'2337','PersonEmail-Label','E-mail',getdate(),getdate(),2)</v>
      </c>
    </row>
    <row r="336" spans="1:6" x14ac:dyDescent="0.25">
      <c r="A336">
        <v>2338</v>
      </c>
      <c r="B336" s="2">
        <v>2</v>
      </c>
      <c r="C336" t="str">
        <f t="shared" si="18"/>
        <v>'2338'</v>
      </c>
      <c r="D336" t="str">
        <f>$N$1 &amp; "PhoneNumber-Label" &amp; $N$1</f>
        <v>'PhoneNumber-Label'</v>
      </c>
      <c r="E336" t="str">
        <f>$N$1 &amp; "Telefone/Celular" &amp; $N$1</f>
        <v>'Telefone/Celular'</v>
      </c>
      <c r="F336" t="str">
        <f t="shared" si="19"/>
        <v>insert into sysLocalizationText Values(2338,'2338','PhoneNumber-Label','Telefone/Celular',getdate(),getdate(),2)</v>
      </c>
    </row>
    <row r="337" spans="1:6" x14ac:dyDescent="0.25">
      <c r="A337">
        <v>2339</v>
      </c>
      <c r="B337" s="2">
        <v>2</v>
      </c>
      <c r="C337" t="str">
        <f>"'" &amp; A337 &amp; "'"</f>
        <v>'2339'</v>
      </c>
      <c r="D337" t="str">
        <f>$N$1 &amp; "SearchByPersonEmail-Label" &amp; $N$1</f>
        <v>'SearchByPersonEmail-Label'</v>
      </c>
      <c r="E337" t="str">
        <f>$N$1 &amp; "Por E-mail Pessoa" &amp; $N$1</f>
        <v>'Por E-mail Pessoa'</v>
      </c>
      <c r="F337" t="str">
        <f t="shared" si="19"/>
        <v>insert into sysLocalizationText Values(2339,'2339','SearchByPersonEmail-Label','Por E-mail Pessoa',getdate(),getdate(),2)</v>
      </c>
    </row>
    <row r="338" spans="1:6" x14ac:dyDescent="0.25">
      <c r="A338">
        <v>2340</v>
      </c>
      <c r="B338" s="2">
        <v>2</v>
      </c>
      <c r="C338" t="str">
        <f t="shared" ref="C338:C346" si="20">"'" &amp; A338 &amp; "'"</f>
        <v>'2340'</v>
      </c>
      <c r="D338" t="str">
        <f>$N$1 &amp; "Contacts-Title" &amp; $N$1</f>
        <v>'Contacts-Title'</v>
      </c>
      <c r="E338" t="str">
        <f>$N$1 &amp; "Contatos" &amp; $N$1</f>
        <v>'Contatos'</v>
      </c>
      <c r="F338" t="str">
        <f t="shared" si="19"/>
        <v>insert into sysLocalizationText Values(2340,'2340','Contacts-Title','Contatos',getdate(),getdate(),2)</v>
      </c>
    </row>
    <row r="339" spans="1:6" x14ac:dyDescent="0.25">
      <c r="A339">
        <v>2341</v>
      </c>
      <c r="B339" s="2">
        <v>2</v>
      </c>
      <c r="C339" t="str">
        <f t="shared" si="20"/>
        <v>'2341'</v>
      </c>
      <c r="D339" t="str">
        <f>$N$1 &amp; "ContactEditing-Label" &amp; $N$1</f>
        <v>'ContactEditing-Label'</v>
      </c>
      <c r="E339" t="str">
        <f>$N$1 &amp; "Editando Contato" &amp; $N$1</f>
        <v>'Editando Contato'</v>
      </c>
      <c r="F339" t="str">
        <f t="shared" si="19"/>
        <v>insert into sysLocalizationText Values(2341,'2341','ContactEditing-Label','Editando Contato',getdate(),getdate(),2)</v>
      </c>
    </row>
    <row r="340" spans="1:6" x14ac:dyDescent="0.25">
      <c r="A340">
        <v>2342</v>
      </c>
      <c r="B340" s="2">
        <v>2</v>
      </c>
      <c r="C340" t="str">
        <f t="shared" si="20"/>
        <v>'2342'</v>
      </c>
      <c r="D340" t="str">
        <f>$N$1 &amp; "ContactInserting-Label" &amp; $N$1</f>
        <v>'ContactInserting-Label'</v>
      </c>
      <c r="E340" t="str">
        <f>$N$1 &amp; "Inserindo Contato" &amp; $N$1</f>
        <v>'Inserindo Contato'</v>
      </c>
      <c r="F340" t="str">
        <f t="shared" si="19"/>
        <v>insert into sysLocalizationText Values(2342,'2342','ContactInserting-Label','Inserindo Contato',getdate(),getdate(),2)</v>
      </c>
    </row>
    <row r="341" spans="1:6" x14ac:dyDescent="0.25">
      <c r="A341">
        <v>2343</v>
      </c>
      <c r="B341" s="2">
        <v>2</v>
      </c>
      <c r="C341" t="str">
        <f t="shared" si="20"/>
        <v>'2343'</v>
      </c>
      <c r="D341" t="str">
        <f>$N$1 &amp; "ContactName-Label" &amp; $N$1</f>
        <v>'ContactName-Label'</v>
      </c>
      <c r="E341" t="str">
        <f>$N$1 &amp; "Nome do Contato" &amp; $N$1</f>
        <v>'Nome do Contato'</v>
      </c>
      <c r="F341" t="str">
        <f t="shared" si="19"/>
        <v>insert into sysLocalizationText Values(2343,'2343','ContactName-Label','Nome do Contato',getdate(),getdate(),2)</v>
      </c>
    </row>
    <row r="342" spans="1:6" x14ac:dyDescent="0.25">
      <c r="A342">
        <v>2344</v>
      </c>
      <c r="B342" s="2">
        <v>2</v>
      </c>
      <c r="C342" t="str">
        <f t="shared" si="20"/>
        <v>'2344'</v>
      </c>
      <c r="D342" t="str">
        <f>$N$1 &amp; "ContactEmail-Label" &amp; $N$1</f>
        <v>'ContactEmail-Label'</v>
      </c>
      <c r="E342" t="str">
        <f>$N$1 &amp; "E-mail do Contato" &amp; $N$1</f>
        <v>'E-mail do Contato'</v>
      </c>
      <c r="F342" t="str">
        <f t="shared" si="19"/>
        <v>insert into sysLocalizationText Values(2344,'2344','ContactEmail-Label','E-mail do Contato',getdate(),getdate(),2)</v>
      </c>
    </row>
    <row r="343" spans="1:6" x14ac:dyDescent="0.25">
      <c r="A343">
        <v>2345</v>
      </c>
      <c r="B343" s="2">
        <v>2</v>
      </c>
      <c r="C343" t="str">
        <f t="shared" si="20"/>
        <v>'2345'</v>
      </c>
      <c r="D343" t="str">
        <f>$N$1 &amp; "ContactCellPhoneNumber-Label" &amp; $N$1</f>
        <v>'ContactCellPhoneNumber-Label'</v>
      </c>
      <c r="E343" t="str">
        <f>$N$1 &amp; "Celular Contato" &amp; $N$1</f>
        <v>'Celular Contato'</v>
      </c>
      <c r="F343" t="str">
        <f t="shared" si="19"/>
        <v>insert into sysLocalizationText Values(2345,'2345','ContactCellPhoneNumber-Label','Celular Contato',getdate(),getdate(),2)</v>
      </c>
    </row>
    <row r="344" spans="1:6" x14ac:dyDescent="0.25">
      <c r="A344">
        <v>2346</v>
      </c>
      <c r="B344" s="2">
        <v>2</v>
      </c>
      <c r="C344" t="str">
        <f t="shared" si="20"/>
        <v>'2346'</v>
      </c>
      <c r="D344" t="str">
        <f>$N$1 &amp; "SavePersonContactButton-Label" &amp; $N$1</f>
        <v>'SavePersonContactButton-Label'</v>
      </c>
      <c r="E344" t="str">
        <f>$N$1 &amp; "Salvar Contato" &amp; $N$1</f>
        <v>'Salvar Contato'</v>
      </c>
      <c r="F344" t="str">
        <f t="shared" si="19"/>
        <v>insert into sysLocalizationText Values(2346,'2346','SavePersonContactButton-Label','Salvar Contato',getdate(),getdate(),2)</v>
      </c>
    </row>
    <row r="345" spans="1:6" x14ac:dyDescent="0.25">
      <c r="A345">
        <v>2347</v>
      </c>
      <c r="B345" s="2">
        <v>2</v>
      </c>
      <c r="C345" t="str">
        <f t="shared" si="20"/>
        <v>'2347'</v>
      </c>
      <c r="D345" t="str">
        <f>$N$1 &amp; "Keepconnection-Label" &amp; $N$1</f>
        <v>'Keepconnection-Label'</v>
      </c>
      <c r="E345" t="str">
        <f>$N$1 &amp; "Manter conexão" &amp; $N$1</f>
        <v>'Manter conexão'</v>
      </c>
      <c r="F345" t="str">
        <f t="shared" si="19"/>
        <v>insert into sysLocalizationText Values(2347,'2347','Keepconnection-Label','Manter conexão',getdate(),getdate(),2)</v>
      </c>
    </row>
    <row r="346" spans="1:6" x14ac:dyDescent="0.25">
      <c r="A346">
        <v>2348</v>
      </c>
      <c r="B346" s="2">
        <v>2</v>
      </c>
      <c r="C346" t="str">
        <f t="shared" si="20"/>
        <v>'2348'</v>
      </c>
      <c r="D346" t="str">
        <f>$N$1 &amp; "Records-Label" &amp; $N$1</f>
        <v>'Records-Label'</v>
      </c>
      <c r="E346" t="str">
        <f>$N$1 &amp; "Registros" &amp; $N$1</f>
        <v>'Registros'</v>
      </c>
      <c r="F346" t="str">
        <f t="shared" si="19"/>
        <v>insert into sysLocalizationText Values(2348,'2348','Records-Label','Registros',getdate(),getdate(),2)</v>
      </c>
    </row>
    <row r="347" spans="1:6" x14ac:dyDescent="0.25">
      <c r="A347">
        <v>2349</v>
      </c>
      <c r="B347" s="2">
        <v>2</v>
      </c>
      <c r="C347" t="str">
        <f t="shared" ref="C347:C355" si="21">"'" &amp; A347 &amp; "'"</f>
        <v>'2349'</v>
      </c>
      <c r="D347" t="str">
        <f>$N$1 &amp; "Page-Label" &amp; $N$1</f>
        <v>'Page-Label'</v>
      </c>
      <c r="E347" t="str">
        <f>$N$1 &amp; "Página" &amp; $N$1</f>
        <v>'Página'</v>
      </c>
      <c r="F347" t="str">
        <f t="shared" ref="F347:F355" si="22">"insert into sysLocalizationText Values(" &amp;A347 &amp; "," &amp;C347 &amp; "," &amp; D347 &amp; "," &amp; E347 &amp; ",getdate(),getdate()," &amp; B347 &amp; ")"</f>
        <v>insert into sysLocalizationText Values(2349,'2349','Page-Label','Página',getdate(),getdate(),2)</v>
      </c>
    </row>
    <row r="348" spans="1:6" x14ac:dyDescent="0.25">
      <c r="A348">
        <v>2350</v>
      </c>
      <c r="B348" s="2">
        <v>2</v>
      </c>
      <c r="C348" t="str">
        <f t="shared" si="21"/>
        <v>'2350'</v>
      </c>
      <c r="D348" t="str">
        <f>$N$1 &amp; "PaginationConfigs-Title" &amp; $N$1</f>
        <v>'PaginationConfigs-Title'</v>
      </c>
      <c r="E348" t="str">
        <f>$N$1 &amp; "Configurações da Paginação" &amp; $N$1</f>
        <v>'Configurações da Paginação'</v>
      </c>
      <c r="F348" t="str">
        <f t="shared" si="22"/>
        <v>insert into sysLocalizationText Values(2350,'2350','PaginationConfigs-Title','Configurações da Paginação',getdate(),getdate(),2)</v>
      </c>
    </row>
    <row r="349" spans="1:6" x14ac:dyDescent="0.25">
      <c r="A349">
        <v>2351</v>
      </c>
      <c r="B349" s="2">
        <v>2</v>
      </c>
      <c r="C349" t="str">
        <f t="shared" si="21"/>
        <v>'2351'</v>
      </c>
      <c r="D349" t="str">
        <f>$N$1 &amp; "SelectRecordsPerPage-Title" &amp; $N$1</f>
        <v>'SelectRecordsPerPage-Title'</v>
      </c>
      <c r="E349" t="str">
        <f>$N$1 &amp; "Registros por página" &amp; $N$1</f>
        <v>'Registros por página'</v>
      </c>
      <c r="F349" t="str">
        <f t="shared" si="22"/>
        <v>insert into sysLocalizationText Values(2351,'2351','SelectRecordsPerPage-Title','Registros por página',getdate(),getdate(),2)</v>
      </c>
    </row>
    <row r="350" spans="1:6" x14ac:dyDescent="0.25">
      <c r="A350">
        <v>2352</v>
      </c>
      <c r="B350" s="2">
        <v>2</v>
      </c>
      <c r="C350" t="str">
        <f t="shared" si="21"/>
        <v>'2352'</v>
      </c>
      <c r="D350" t="str">
        <f>$N$1 &amp; "SelectPage-Title" &amp; $N$1</f>
        <v>'SelectPage-Title'</v>
      </c>
      <c r="E350" t="str">
        <f>$N$1 &amp; "Seleciona a página" &amp; $N$1</f>
        <v>'Seleciona a página'</v>
      </c>
      <c r="F350" t="str">
        <f t="shared" si="22"/>
        <v>insert into sysLocalizationText Values(2352,'2352','SelectPage-Title','Seleciona a página',getdate(),getdate(),2)</v>
      </c>
    </row>
    <row r="351" spans="1:6" x14ac:dyDescent="0.25">
      <c r="A351">
        <v>2353</v>
      </c>
      <c r="B351" s="2">
        <v>2</v>
      </c>
      <c r="C351" t="str">
        <f t="shared" si="21"/>
        <v>'2353'</v>
      </c>
      <c r="D351" t="str">
        <f>$N$1 &amp; "Messagebox-Confirmation-Title" &amp; $N$1</f>
        <v>'Messagebox-Confirmation-Title'</v>
      </c>
      <c r="E351" t="str">
        <f>$N$1 &amp; "Confirmação" &amp; $N$1</f>
        <v>'Confirmação'</v>
      </c>
      <c r="F351" t="str">
        <f t="shared" si="22"/>
        <v>insert into sysLocalizationText Values(2353,'2353','Messagebox-Confirmation-Title','Confirmação',getdate(),getdate(),2)</v>
      </c>
    </row>
    <row r="352" spans="1:6" x14ac:dyDescent="0.25">
      <c r="A352">
        <v>2354</v>
      </c>
      <c r="B352" s="2">
        <v>2</v>
      </c>
      <c r="C352" t="str">
        <f t="shared" si="21"/>
        <v>'2354'</v>
      </c>
      <c r="D352" t="str">
        <f t="shared" ref="D351:E355" si="23">$N$1 &amp; "" &amp; $N$1</f>
        <v>''</v>
      </c>
      <c r="E352" t="str">
        <f t="shared" si="23"/>
        <v>''</v>
      </c>
      <c r="F352" t="str">
        <f t="shared" si="22"/>
        <v>insert into sysLocalizationText Values(2354,'2354','','',getdate(),getdate(),2)</v>
      </c>
    </row>
    <row r="353" spans="1:6" x14ac:dyDescent="0.25">
      <c r="A353">
        <v>2355</v>
      </c>
      <c r="B353" s="2">
        <v>2</v>
      </c>
      <c r="C353" t="str">
        <f t="shared" si="21"/>
        <v>'2355'</v>
      </c>
      <c r="D353" t="str">
        <f t="shared" si="23"/>
        <v>''</v>
      </c>
      <c r="E353" t="str">
        <f t="shared" si="23"/>
        <v>''</v>
      </c>
      <c r="F353" t="str">
        <f t="shared" si="22"/>
        <v>insert into sysLocalizationText Values(2355,'2355','','',getdate(),getdate(),2)</v>
      </c>
    </row>
    <row r="354" spans="1:6" x14ac:dyDescent="0.25">
      <c r="A354">
        <v>2356</v>
      </c>
      <c r="B354" s="2">
        <v>2</v>
      </c>
      <c r="C354" t="str">
        <f t="shared" si="21"/>
        <v>'2356'</v>
      </c>
      <c r="D354" t="str">
        <f t="shared" si="23"/>
        <v>''</v>
      </c>
      <c r="E354" t="str">
        <f t="shared" si="23"/>
        <v>''</v>
      </c>
      <c r="F354" t="str">
        <f t="shared" si="22"/>
        <v>insert into sysLocalizationText Values(2356,'2356','','',getdate(),getdate(),2)</v>
      </c>
    </row>
    <row r="355" spans="1:6" x14ac:dyDescent="0.25">
      <c r="A355">
        <v>2357</v>
      </c>
      <c r="B355" s="2">
        <v>2</v>
      </c>
      <c r="C355" t="str">
        <f t="shared" si="21"/>
        <v>'2357'</v>
      </c>
      <c r="D355" t="str">
        <f t="shared" si="23"/>
        <v>''</v>
      </c>
      <c r="E355" t="str">
        <f t="shared" si="23"/>
        <v>''</v>
      </c>
      <c r="F355" t="str">
        <f t="shared" si="22"/>
        <v>insert into sysLocalizationText Values(2357,'2357','','',getdate(),getdate(),2)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16" workbookViewId="0">
      <selection sqref="A1:A50"/>
    </sheetView>
  </sheetViews>
  <sheetFormatPr defaultRowHeight="15" x14ac:dyDescent="0.25"/>
  <cols>
    <col min="1" max="1" width="11.85546875" customWidth="1"/>
  </cols>
  <sheetData>
    <row r="1" spans="1:2" x14ac:dyDescent="0.25">
      <c r="A1">
        <v>2001</v>
      </c>
      <c r="B1" t="str">
        <f t="shared" ref="B1:B32" si="0">"'" &amp; A1 &amp; "'"</f>
        <v>'2001'</v>
      </c>
    </row>
    <row r="2" spans="1:2" x14ac:dyDescent="0.25">
      <c r="A2">
        <v>2002</v>
      </c>
      <c r="B2" t="str">
        <f t="shared" si="0"/>
        <v>'2002'</v>
      </c>
    </row>
    <row r="3" spans="1:2" x14ac:dyDescent="0.25">
      <c r="A3">
        <v>2003</v>
      </c>
      <c r="B3" t="str">
        <f t="shared" si="0"/>
        <v>'2003'</v>
      </c>
    </row>
    <row r="4" spans="1:2" x14ac:dyDescent="0.25">
      <c r="A4">
        <v>2004</v>
      </c>
      <c r="B4" t="str">
        <f t="shared" si="0"/>
        <v>'2004'</v>
      </c>
    </row>
    <row r="5" spans="1:2" x14ac:dyDescent="0.25">
      <c r="A5">
        <v>2005</v>
      </c>
      <c r="B5" t="str">
        <f t="shared" si="0"/>
        <v>'2005'</v>
      </c>
    </row>
    <row r="6" spans="1:2" x14ac:dyDescent="0.25">
      <c r="A6">
        <v>2006</v>
      </c>
      <c r="B6" t="str">
        <f t="shared" si="0"/>
        <v>'2006'</v>
      </c>
    </row>
    <row r="7" spans="1:2" x14ac:dyDescent="0.25">
      <c r="A7">
        <v>2007</v>
      </c>
      <c r="B7" t="str">
        <f t="shared" si="0"/>
        <v>'2007'</v>
      </c>
    </row>
    <row r="8" spans="1:2" x14ac:dyDescent="0.25">
      <c r="A8">
        <v>2008</v>
      </c>
      <c r="B8" t="str">
        <f t="shared" si="0"/>
        <v>'2008'</v>
      </c>
    </row>
    <row r="9" spans="1:2" x14ac:dyDescent="0.25">
      <c r="A9">
        <v>2009</v>
      </c>
      <c r="B9" t="str">
        <f t="shared" si="0"/>
        <v>'2009'</v>
      </c>
    </row>
    <row r="10" spans="1:2" x14ac:dyDescent="0.25">
      <c r="A10">
        <v>2010</v>
      </c>
      <c r="B10" t="str">
        <f t="shared" si="0"/>
        <v>'2010'</v>
      </c>
    </row>
    <row r="11" spans="1:2" x14ac:dyDescent="0.25">
      <c r="A11">
        <v>2011</v>
      </c>
      <c r="B11" t="str">
        <f t="shared" si="0"/>
        <v>'2011'</v>
      </c>
    </row>
    <row r="12" spans="1:2" x14ac:dyDescent="0.25">
      <c r="A12">
        <v>2012</v>
      </c>
      <c r="B12" t="str">
        <f t="shared" si="0"/>
        <v>'2012'</v>
      </c>
    </row>
    <row r="13" spans="1:2" x14ac:dyDescent="0.25">
      <c r="A13">
        <v>2013</v>
      </c>
      <c r="B13" t="str">
        <f t="shared" si="0"/>
        <v>'2013'</v>
      </c>
    </row>
    <row r="14" spans="1:2" x14ac:dyDescent="0.25">
      <c r="A14">
        <v>2014</v>
      </c>
      <c r="B14" t="str">
        <f t="shared" si="0"/>
        <v>'2014'</v>
      </c>
    </row>
    <row r="15" spans="1:2" x14ac:dyDescent="0.25">
      <c r="A15">
        <v>2015</v>
      </c>
      <c r="B15" t="str">
        <f t="shared" si="0"/>
        <v>'2015'</v>
      </c>
    </row>
    <row r="16" spans="1:2" x14ac:dyDescent="0.25">
      <c r="A16">
        <v>2016</v>
      </c>
      <c r="B16" t="str">
        <f t="shared" si="0"/>
        <v>'2016'</v>
      </c>
    </row>
    <row r="17" spans="1:2" x14ac:dyDescent="0.25">
      <c r="A17">
        <v>2017</v>
      </c>
      <c r="B17" t="str">
        <f t="shared" si="0"/>
        <v>'2017'</v>
      </c>
    </row>
    <row r="18" spans="1:2" x14ac:dyDescent="0.25">
      <c r="A18">
        <v>2018</v>
      </c>
      <c r="B18" t="str">
        <f t="shared" si="0"/>
        <v>'2018'</v>
      </c>
    </row>
    <row r="19" spans="1:2" x14ac:dyDescent="0.25">
      <c r="A19">
        <v>2019</v>
      </c>
      <c r="B19" t="str">
        <f t="shared" si="0"/>
        <v>'2019'</v>
      </c>
    </row>
    <row r="20" spans="1:2" x14ac:dyDescent="0.25">
      <c r="A20">
        <v>2020</v>
      </c>
      <c r="B20" t="str">
        <f t="shared" si="0"/>
        <v>'2020'</v>
      </c>
    </row>
    <row r="21" spans="1:2" x14ac:dyDescent="0.25">
      <c r="A21">
        <v>2021</v>
      </c>
      <c r="B21" t="str">
        <f t="shared" si="0"/>
        <v>'2021'</v>
      </c>
    </row>
    <row r="22" spans="1:2" x14ac:dyDescent="0.25">
      <c r="A22">
        <v>2022</v>
      </c>
      <c r="B22" t="str">
        <f t="shared" si="0"/>
        <v>'2022'</v>
      </c>
    </row>
    <row r="23" spans="1:2" x14ac:dyDescent="0.25">
      <c r="A23">
        <v>2023</v>
      </c>
      <c r="B23" t="str">
        <f t="shared" si="0"/>
        <v>'2023'</v>
      </c>
    </row>
    <row r="24" spans="1:2" x14ac:dyDescent="0.25">
      <c r="A24">
        <v>2024</v>
      </c>
      <c r="B24" t="str">
        <f t="shared" si="0"/>
        <v>'2024'</v>
      </c>
    </row>
    <row r="25" spans="1:2" x14ac:dyDescent="0.25">
      <c r="A25">
        <v>2025</v>
      </c>
      <c r="B25" t="str">
        <f t="shared" si="0"/>
        <v>'2025'</v>
      </c>
    </row>
    <row r="26" spans="1:2" x14ac:dyDescent="0.25">
      <c r="A26">
        <v>2026</v>
      </c>
      <c r="B26" t="str">
        <f t="shared" si="0"/>
        <v>'2026'</v>
      </c>
    </row>
    <row r="27" spans="1:2" x14ac:dyDescent="0.25">
      <c r="A27">
        <v>2027</v>
      </c>
      <c r="B27" t="str">
        <f t="shared" si="0"/>
        <v>'2027'</v>
      </c>
    </row>
    <row r="28" spans="1:2" x14ac:dyDescent="0.25">
      <c r="A28">
        <v>2028</v>
      </c>
      <c r="B28" t="str">
        <f t="shared" si="0"/>
        <v>'2028'</v>
      </c>
    </row>
    <row r="29" spans="1:2" x14ac:dyDescent="0.25">
      <c r="A29">
        <v>2029</v>
      </c>
      <c r="B29" t="str">
        <f t="shared" si="0"/>
        <v>'2029'</v>
      </c>
    </row>
    <row r="30" spans="1:2" x14ac:dyDescent="0.25">
      <c r="A30">
        <v>2030</v>
      </c>
      <c r="B30" t="str">
        <f t="shared" si="0"/>
        <v>'2030'</v>
      </c>
    </row>
    <row r="31" spans="1:2" x14ac:dyDescent="0.25">
      <c r="A31">
        <v>2031</v>
      </c>
      <c r="B31" t="str">
        <f t="shared" si="0"/>
        <v>'2031'</v>
      </c>
    </row>
    <row r="32" spans="1:2" x14ac:dyDescent="0.25">
      <c r="A32">
        <v>2032</v>
      </c>
      <c r="B32" t="str">
        <f t="shared" si="0"/>
        <v>'2032'</v>
      </c>
    </row>
    <row r="33" spans="1:2" x14ac:dyDescent="0.25">
      <c r="A33">
        <v>2033</v>
      </c>
      <c r="B33" t="str">
        <f t="shared" ref="B33:B50" si="1">"'" &amp; A33 &amp; "'"</f>
        <v>'2033'</v>
      </c>
    </row>
    <row r="34" spans="1:2" x14ac:dyDescent="0.25">
      <c r="A34">
        <v>2034</v>
      </c>
      <c r="B34" t="str">
        <f t="shared" si="1"/>
        <v>'2034'</v>
      </c>
    </row>
    <row r="35" spans="1:2" x14ac:dyDescent="0.25">
      <c r="A35">
        <v>2035</v>
      </c>
      <c r="B35" t="str">
        <f t="shared" si="1"/>
        <v>'2035'</v>
      </c>
    </row>
    <row r="36" spans="1:2" x14ac:dyDescent="0.25">
      <c r="A36">
        <v>2036</v>
      </c>
      <c r="B36" t="str">
        <f t="shared" si="1"/>
        <v>'2036'</v>
      </c>
    </row>
    <row r="37" spans="1:2" x14ac:dyDescent="0.25">
      <c r="A37">
        <v>2037</v>
      </c>
      <c r="B37" t="str">
        <f t="shared" si="1"/>
        <v>'2037'</v>
      </c>
    </row>
    <row r="38" spans="1:2" x14ac:dyDescent="0.25">
      <c r="A38">
        <v>2038</v>
      </c>
      <c r="B38" t="str">
        <f t="shared" si="1"/>
        <v>'2038'</v>
      </c>
    </row>
    <row r="39" spans="1:2" x14ac:dyDescent="0.25">
      <c r="A39">
        <v>2039</v>
      </c>
      <c r="B39" t="str">
        <f t="shared" si="1"/>
        <v>'2039'</v>
      </c>
    </row>
    <row r="40" spans="1:2" x14ac:dyDescent="0.25">
      <c r="A40">
        <v>2040</v>
      </c>
      <c r="B40" t="str">
        <f t="shared" si="1"/>
        <v>'2040'</v>
      </c>
    </row>
    <row r="41" spans="1:2" x14ac:dyDescent="0.25">
      <c r="A41">
        <v>2041</v>
      </c>
      <c r="B41" t="str">
        <f t="shared" si="1"/>
        <v>'2041'</v>
      </c>
    </row>
    <row r="42" spans="1:2" x14ac:dyDescent="0.25">
      <c r="A42">
        <v>2042</v>
      </c>
      <c r="B42" t="str">
        <f t="shared" si="1"/>
        <v>'2042'</v>
      </c>
    </row>
    <row r="43" spans="1:2" x14ac:dyDescent="0.25">
      <c r="A43">
        <v>2043</v>
      </c>
      <c r="B43" t="str">
        <f t="shared" si="1"/>
        <v>'2043'</v>
      </c>
    </row>
    <row r="44" spans="1:2" x14ac:dyDescent="0.25">
      <c r="A44">
        <v>2044</v>
      </c>
      <c r="B44" t="str">
        <f t="shared" si="1"/>
        <v>'2044'</v>
      </c>
    </row>
    <row r="45" spans="1:2" x14ac:dyDescent="0.25">
      <c r="A45">
        <v>2045</v>
      </c>
      <c r="B45" t="str">
        <f t="shared" si="1"/>
        <v>'2045'</v>
      </c>
    </row>
    <row r="46" spans="1:2" x14ac:dyDescent="0.25">
      <c r="A46">
        <v>2046</v>
      </c>
      <c r="B46" t="str">
        <f t="shared" si="1"/>
        <v>'2046'</v>
      </c>
    </row>
    <row r="47" spans="1:2" x14ac:dyDescent="0.25">
      <c r="A47">
        <v>2047</v>
      </c>
      <c r="B47" t="str">
        <f t="shared" si="1"/>
        <v>'2047'</v>
      </c>
    </row>
    <row r="48" spans="1:2" x14ac:dyDescent="0.25">
      <c r="A48">
        <v>2048</v>
      </c>
      <c r="B48" t="str">
        <f t="shared" si="1"/>
        <v>'2048'</v>
      </c>
    </row>
    <row r="49" spans="1:2" x14ac:dyDescent="0.25">
      <c r="A49">
        <v>2049</v>
      </c>
      <c r="B49" t="str">
        <f t="shared" si="1"/>
        <v>'2049'</v>
      </c>
    </row>
    <row r="50" spans="1:2" x14ac:dyDescent="0.25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4"/>
  <sheetViews>
    <sheetView workbookViewId="0">
      <selection activeCell="B38" sqref="B38"/>
    </sheetView>
  </sheetViews>
  <sheetFormatPr defaultRowHeight="15" x14ac:dyDescent="0.25"/>
  <cols>
    <col min="1" max="1" width="15.5703125" customWidth="1"/>
    <col min="2" max="2" width="17" customWidth="1"/>
  </cols>
  <sheetData>
    <row r="1" spans="1:2" x14ac:dyDescent="0.25">
      <c r="A1">
        <v>1001</v>
      </c>
      <c r="B1" t="str">
        <f t="shared" ref="B1:B32" si="0">"'" &amp; A1 &amp; "'"</f>
        <v>'1001'</v>
      </c>
    </row>
    <row r="2" spans="1:2" x14ac:dyDescent="0.25">
      <c r="A2">
        <v>1002</v>
      </c>
      <c r="B2" t="str">
        <f t="shared" si="0"/>
        <v>'1002'</v>
      </c>
    </row>
    <row r="3" spans="1:2" x14ac:dyDescent="0.25">
      <c r="A3">
        <v>1003</v>
      </c>
      <c r="B3" t="str">
        <f t="shared" si="0"/>
        <v>'1003'</v>
      </c>
    </row>
    <row r="4" spans="1:2" x14ac:dyDescent="0.25">
      <c r="A4">
        <v>1004</v>
      </c>
      <c r="B4" t="str">
        <f t="shared" si="0"/>
        <v>'1004'</v>
      </c>
    </row>
    <row r="5" spans="1:2" x14ac:dyDescent="0.25">
      <c r="A5">
        <v>1005</v>
      </c>
      <c r="B5" t="str">
        <f t="shared" si="0"/>
        <v>'1005'</v>
      </c>
    </row>
    <row r="6" spans="1:2" x14ac:dyDescent="0.25">
      <c r="A6">
        <v>1006</v>
      </c>
      <c r="B6" t="str">
        <f t="shared" si="0"/>
        <v>'1006'</v>
      </c>
    </row>
    <row r="7" spans="1:2" x14ac:dyDescent="0.25">
      <c r="A7">
        <v>1007</v>
      </c>
      <c r="B7" t="str">
        <f t="shared" si="0"/>
        <v>'1007'</v>
      </c>
    </row>
    <row r="8" spans="1:2" x14ac:dyDescent="0.25">
      <c r="A8">
        <v>1008</v>
      </c>
      <c r="B8" t="str">
        <f t="shared" si="0"/>
        <v>'1008'</v>
      </c>
    </row>
    <row r="9" spans="1:2" x14ac:dyDescent="0.25">
      <c r="A9">
        <v>1009</v>
      </c>
      <c r="B9" t="str">
        <f t="shared" si="0"/>
        <v>'1009'</v>
      </c>
    </row>
    <row r="10" spans="1:2" x14ac:dyDescent="0.25">
      <c r="A10">
        <v>1010</v>
      </c>
      <c r="B10" t="str">
        <f t="shared" si="0"/>
        <v>'1010'</v>
      </c>
    </row>
    <row r="11" spans="1:2" x14ac:dyDescent="0.25">
      <c r="A11">
        <v>1011</v>
      </c>
      <c r="B11" t="str">
        <f t="shared" si="0"/>
        <v>'1011'</v>
      </c>
    </row>
    <row r="12" spans="1:2" x14ac:dyDescent="0.25">
      <c r="A12">
        <v>1012</v>
      </c>
      <c r="B12" t="str">
        <f t="shared" si="0"/>
        <v>'1012'</v>
      </c>
    </row>
    <row r="13" spans="1:2" x14ac:dyDescent="0.25">
      <c r="A13">
        <v>1013</v>
      </c>
      <c r="B13" t="str">
        <f t="shared" si="0"/>
        <v>'1013'</v>
      </c>
    </row>
    <row r="14" spans="1:2" x14ac:dyDescent="0.25">
      <c r="A14">
        <v>1014</v>
      </c>
      <c r="B14" t="str">
        <f t="shared" si="0"/>
        <v>'1014'</v>
      </c>
    </row>
    <row r="15" spans="1:2" x14ac:dyDescent="0.25">
      <c r="A15">
        <v>1015</v>
      </c>
      <c r="B15" t="str">
        <f t="shared" si="0"/>
        <v>'1015'</v>
      </c>
    </row>
    <row r="16" spans="1:2" x14ac:dyDescent="0.25">
      <c r="A16">
        <v>1016</v>
      </c>
      <c r="B16" t="str">
        <f t="shared" si="0"/>
        <v>'1016'</v>
      </c>
    </row>
    <row r="17" spans="1:2" x14ac:dyDescent="0.25">
      <c r="A17">
        <v>1017</v>
      </c>
      <c r="B17" t="str">
        <f t="shared" si="0"/>
        <v>'1017'</v>
      </c>
    </row>
    <row r="18" spans="1:2" x14ac:dyDescent="0.25">
      <c r="A18">
        <v>1018</v>
      </c>
      <c r="B18" t="str">
        <f t="shared" si="0"/>
        <v>'1018'</v>
      </c>
    </row>
    <row r="19" spans="1:2" x14ac:dyDescent="0.25">
      <c r="A19">
        <v>1019</v>
      </c>
      <c r="B19" t="str">
        <f t="shared" si="0"/>
        <v>'1019'</v>
      </c>
    </row>
    <row r="20" spans="1:2" x14ac:dyDescent="0.25">
      <c r="A20">
        <v>1020</v>
      </c>
      <c r="B20" t="str">
        <f t="shared" si="0"/>
        <v>'1020'</v>
      </c>
    </row>
    <row r="21" spans="1:2" x14ac:dyDescent="0.25">
      <c r="A21">
        <v>1021</v>
      </c>
      <c r="B21" t="str">
        <f t="shared" si="0"/>
        <v>'1021'</v>
      </c>
    </row>
    <row r="22" spans="1:2" x14ac:dyDescent="0.25">
      <c r="A22">
        <v>1022</v>
      </c>
      <c r="B22" t="str">
        <f t="shared" si="0"/>
        <v>'1022'</v>
      </c>
    </row>
    <row r="23" spans="1:2" x14ac:dyDescent="0.25">
      <c r="A23">
        <v>1023</v>
      </c>
      <c r="B23" t="str">
        <f t="shared" si="0"/>
        <v>'1023'</v>
      </c>
    </row>
    <row r="24" spans="1:2" x14ac:dyDescent="0.25">
      <c r="A24">
        <v>1024</v>
      </c>
      <c r="B24" t="str">
        <f t="shared" si="0"/>
        <v>'1024'</v>
      </c>
    </row>
    <row r="25" spans="1:2" x14ac:dyDescent="0.25">
      <c r="A25">
        <v>1025</v>
      </c>
      <c r="B25" t="str">
        <f t="shared" si="0"/>
        <v>'1025'</v>
      </c>
    </row>
    <row r="26" spans="1:2" x14ac:dyDescent="0.25">
      <c r="A26">
        <v>1026</v>
      </c>
      <c r="B26" t="str">
        <f t="shared" si="0"/>
        <v>'1026'</v>
      </c>
    </row>
    <row r="27" spans="1:2" x14ac:dyDescent="0.25">
      <c r="A27">
        <v>1027</v>
      </c>
      <c r="B27" t="str">
        <f t="shared" si="0"/>
        <v>'1027'</v>
      </c>
    </row>
    <row r="28" spans="1:2" x14ac:dyDescent="0.25">
      <c r="A28">
        <v>1028</v>
      </c>
      <c r="B28" t="str">
        <f t="shared" si="0"/>
        <v>'1028'</v>
      </c>
    </row>
    <row r="29" spans="1:2" x14ac:dyDescent="0.25">
      <c r="A29">
        <v>1029</v>
      </c>
      <c r="B29" t="str">
        <f t="shared" si="0"/>
        <v>'1029'</v>
      </c>
    </row>
    <row r="30" spans="1:2" x14ac:dyDescent="0.25">
      <c r="A30">
        <v>1030</v>
      </c>
      <c r="B30" t="str">
        <f t="shared" si="0"/>
        <v>'1030'</v>
      </c>
    </row>
    <row r="31" spans="1:2" x14ac:dyDescent="0.25">
      <c r="A31">
        <v>1031</v>
      </c>
      <c r="B31" t="str">
        <f t="shared" si="0"/>
        <v>'1031'</v>
      </c>
    </row>
    <row r="32" spans="1:2" x14ac:dyDescent="0.25">
      <c r="A32">
        <v>1032</v>
      </c>
      <c r="B32" t="str">
        <f t="shared" si="0"/>
        <v>'1032'</v>
      </c>
    </row>
    <row r="33" spans="1:2" x14ac:dyDescent="0.25">
      <c r="A33">
        <v>1033</v>
      </c>
      <c r="B33" t="str">
        <f t="shared" ref="B33:B50" si="1">"'" &amp; A33 &amp; "'"</f>
        <v>'1033'</v>
      </c>
    </row>
    <row r="34" spans="1:2" x14ac:dyDescent="0.25">
      <c r="A34">
        <v>1034</v>
      </c>
      <c r="B34" t="str">
        <f t="shared" si="1"/>
        <v>'1034'</v>
      </c>
    </row>
    <row r="35" spans="1:2" x14ac:dyDescent="0.25">
      <c r="A35">
        <v>1035</v>
      </c>
      <c r="B35" t="str">
        <f t="shared" si="1"/>
        <v>'1035'</v>
      </c>
    </row>
    <row r="36" spans="1:2" x14ac:dyDescent="0.25">
      <c r="A36">
        <v>1036</v>
      </c>
      <c r="B36" t="str">
        <f t="shared" si="1"/>
        <v>'1036'</v>
      </c>
    </row>
    <row r="37" spans="1:2" x14ac:dyDescent="0.25">
      <c r="A37">
        <v>1037</v>
      </c>
      <c r="B37" t="str">
        <f t="shared" si="1"/>
        <v>'1037'</v>
      </c>
    </row>
    <row r="38" spans="1:2" x14ac:dyDescent="0.25">
      <c r="A38">
        <v>1038</v>
      </c>
      <c r="B38" t="str">
        <f t="shared" si="1"/>
        <v>'1038'</v>
      </c>
    </row>
    <row r="39" spans="1:2" x14ac:dyDescent="0.25">
      <c r="A39">
        <v>1039</v>
      </c>
      <c r="B39" t="str">
        <f t="shared" si="1"/>
        <v>'1039'</v>
      </c>
    </row>
    <row r="40" spans="1:2" x14ac:dyDescent="0.25">
      <c r="A40">
        <v>1040</v>
      </c>
      <c r="B40" t="str">
        <f t="shared" si="1"/>
        <v>'1040'</v>
      </c>
    </row>
    <row r="41" spans="1:2" x14ac:dyDescent="0.25">
      <c r="A41">
        <v>1041</v>
      </c>
      <c r="B41" t="str">
        <f t="shared" si="1"/>
        <v>'1041'</v>
      </c>
    </row>
    <row r="42" spans="1:2" x14ac:dyDescent="0.25">
      <c r="A42">
        <v>1042</v>
      </c>
      <c r="B42" t="str">
        <f t="shared" si="1"/>
        <v>'1042'</v>
      </c>
    </row>
    <row r="43" spans="1:2" x14ac:dyDescent="0.25">
      <c r="A43">
        <v>1043</v>
      </c>
      <c r="B43" t="str">
        <f t="shared" si="1"/>
        <v>'1043'</v>
      </c>
    </row>
    <row r="44" spans="1:2" x14ac:dyDescent="0.25">
      <c r="A44">
        <v>1044</v>
      </c>
      <c r="B44" t="str">
        <f t="shared" si="1"/>
        <v>'1044'</v>
      </c>
    </row>
    <row r="45" spans="1:2" x14ac:dyDescent="0.25">
      <c r="A45">
        <v>1045</v>
      </c>
      <c r="B45" t="str">
        <f t="shared" si="1"/>
        <v>'1045'</v>
      </c>
    </row>
    <row r="46" spans="1:2" x14ac:dyDescent="0.25">
      <c r="A46">
        <v>1046</v>
      </c>
      <c r="B46" t="str">
        <f t="shared" si="1"/>
        <v>'1046'</v>
      </c>
    </row>
    <row r="47" spans="1:2" x14ac:dyDescent="0.25">
      <c r="A47">
        <v>1047</v>
      </c>
      <c r="B47" t="str">
        <f t="shared" si="1"/>
        <v>'1047'</v>
      </c>
    </row>
    <row r="48" spans="1:2" x14ac:dyDescent="0.25">
      <c r="A48">
        <v>1048</v>
      </c>
      <c r="B48" t="str">
        <f t="shared" si="1"/>
        <v>'1048'</v>
      </c>
    </row>
    <row r="49" spans="1:2" x14ac:dyDescent="0.25">
      <c r="A49">
        <v>1049</v>
      </c>
      <c r="B49" t="str">
        <f t="shared" si="1"/>
        <v>'1049'</v>
      </c>
    </row>
    <row r="50" spans="1:2" x14ac:dyDescent="0.25">
      <c r="A50">
        <v>1050</v>
      </c>
      <c r="B50" t="str">
        <f t="shared" si="1"/>
        <v>'1050'</v>
      </c>
    </row>
    <row r="51" spans="1:2" x14ac:dyDescent="0.25">
      <c r="A51">
        <v>1051</v>
      </c>
      <c r="B51" t="str">
        <f t="shared" ref="B51:B64" si="2">"'" &amp; A51 &amp; "'"</f>
        <v>'1051'</v>
      </c>
    </row>
    <row r="52" spans="1:2" x14ac:dyDescent="0.25">
      <c r="A52">
        <v>1052</v>
      </c>
      <c r="B52" t="str">
        <f t="shared" si="2"/>
        <v>'1052'</v>
      </c>
    </row>
    <row r="53" spans="1:2" x14ac:dyDescent="0.25">
      <c r="A53">
        <v>1053</v>
      </c>
      <c r="B53" t="str">
        <f t="shared" si="2"/>
        <v>'1053'</v>
      </c>
    </row>
    <row r="54" spans="1:2" x14ac:dyDescent="0.25">
      <c r="A54">
        <v>1054</v>
      </c>
      <c r="B54" t="str">
        <f t="shared" si="2"/>
        <v>'1054'</v>
      </c>
    </row>
    <row r="55" spans="1:2" x14ac:dyDescent="0.25">
      <c r="A55">
        <v>1055</v>
      </c>
      <c r="B55" t="str">
        <f t="shared" si="2"/>
        <v>'1055'</v>
      </c>
    </row>
    <row r="56" spans="1:2" x14ac:dyDescent="0.25">
      <c r="A56">
        <v>1056</v>
      </c>
      <c r="B56" t="str">
        <f t="shared" si="2"/>
        <v>'1056'</v>
      </c>
    </row>
    <row r="57" spans="1:2" x14ac:dyDescent="0.25">
      <c r="A57">
        <v>1057</v>
      </c>
      <c r="B57" t="str">
        <f t="shared" si="2"/>
        <v>'1057'</v>
      </c>
    </row>
    <row r="58" spans="1:2" x14ac:dyDescent="0.25">
      <c r="A58">
        <v>1058</v>
      </c>
      <c r="B58" t="str">
        <f t="shared" si="2"/>
        <v>'1058'</v>
      </c>
    </row>
    <row r="59" spans="1:2" x14ac:dyDescent="0.25">
      <c r="A59">
        <v>1059</v>
      </c>
      <c r="B59" t="str">
        <f t="shared" si="2"/>
        <v>'1059'</v>
      </c>
    </row>
    <row r="60" spans="1:2" x14ac:dyDescent="0.25">
      <c r="A60">
        <v>1060</v>
      </c>
      <c r="B60" t="str">
        <f t="shared" si="2"/>
        <v>'1060'</v>
      </c>
    </row>
    <row r="61" spans="1:2" x14ac:dyDescent="0.25">
      <c r="A61">
        <v>1061</v>
      </c>
      <c r="B61" t="str">
        <f t="shared" si="2"/>
        <v>'1061'</v>
      </c>
    </row>
    <row r="62" spans="1:2" x14ac:dyDescent="0.25">
      <c r="A62">
        <v>1062</v>
      </c>
      <c r="B62" t="str">
        <f t="shared" si="2"/>
        <v>'1062'</v>
      </c>
    </row>
    <row r="63" spans="1:2" x14ac:dyDescent="0.25">
      <c r="A63">
        <v>1063</v>
      </c>
      <c r="B63" t="str">
        <f t="shared" si="2"/>
        <v>'1063'</v>
      </c>
    </row>
    <row r="64" spans="1:2" x14ac:dyDescent="0.25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2025-12-18T17:26:39Z</dcterms:modified>
</cp:coreProperties>
</file>