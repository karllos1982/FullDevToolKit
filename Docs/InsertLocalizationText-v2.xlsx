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5415" yWindow="-195" windowWidth="18735" windowHeight="11700"/>
  </bookViews>
  <sheets>
    <sheet name="en-us" sheetId="1" r:id="rId1"/>
    <sheet name="pt-br" sheetId="4" r:id="rId2"/>
    <sheet name="num" sheetId="2" r:id="rId3"/>
    <sheet name="Plan3" sheetId="3" r:id="rId4"/>
  </sheets>
  <calcPr calcId="124519"/>
</workbook>
</file>

<file path=xl/calcChain.xml><?xml version="1.0" encoding="utf-8"?>
<calcChain xmlns="http://schemas.openxmlformats.org/spreadsheetml/2006/main">
  <c r="F2" i="4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1"/>
  <c r="F18" i="1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2"/>
  <c r="F3"/>
  <c r="F4"/>
  <c r="F5"/>
  <c r="F6"/>
  <c r="F7"/>
  <c r="F8"/>
  <c r="F9"/>
  <c r="F10"/>
  <c r="F11"/>
  <c r="F12"/>
  <c r="F13"/>
  <c r="F14"/>
  <c r="F15"/>
  <c r="F16"/>
  <c r="F17"/>
  <c r="F1"/>
  <c r="E327" i="4"/>
  <c r="E326"/>
  <c r="E325"/>
  <c r="E324"/>
  <c r="E323"/>
  <c r="E323" i="1"/>
  <c r="E322" i="4"/>
  <c r="E321"/>
  <c r="D327"/>
  <c r="C327"/>
  <c r="D326"/>
  <c r="C326"/>
  <c r="D325"/>
  <c r="C325"/>
  <c r="D324"/>
  <c r="C324"/>
  <c r="D323"/>
  <c r="C323"/>
  <c r="D322"/>
  <c r="C322"/>
  <c r="D321"/>
  <c r="C321"/>
  <c r="E327" i="1"/>
  <c r="D327"/>
  <c r="D304"/>
  <c r="E326"/>
  <c r="D326"/>
  <c r="E325"/>
  <c r="D325"/>
  <c r="E324"/>
  <c r="D324"/>
  <c r="D323"/>
  <c r="E322"/>
  <c r="D322"/>
  <c r="E321"/>
  <c r="D321"/>
  <c r="C321"/>
  <c r="C322"/>
  <c r="C323"/>
  <c r="C324"/>
  <c r="C325"/>
  <c r="C326"/>
  <c r="C327"/>
  <c r="E83" l="1"/>
  <c r="E83" i="4"/>
  <c r="E320" l="1"/>
  <c r="E319"/>
  <c r="E318"/>
  <c r="D320"/>
  <c r="C320"/>
  <c r="D319"/>
  <c r="C319"/>
  <c r="D318"/>
  <c r="C318"/>
  <c r="E320" i="1"/>
  <c r="E319"/>
  <c r="D320"/>
  <c r="D319"/>
  <c r="C319"/>
  <c r="C320"/>
  <c r="E318"/>
  <c r="D318"/>
  <c r="C318"/>
  <c r="E315" i="4" l="1"/>
  <c r="E316"/>
  <c r="E317"/>
  <c r="D317"/>
  <c r="C317"/>
  <c r="D316"/>
  <c r="C316"/>
  <c r="D315"/>
  <c r="C315"/>
  <c r="E317" i="1"/>
  <c r="E316"/>
  <c r="E315"/>
  <c r="D317"/>
  <c r="D315"/>
  <c r="D316"/>
  <c r="C317"/>
  <c r="C316"/>
  <c r="C315"/>
  <c r="E314" i="4"/>
  <c r="E313"/>
  <c r="E312"/>
  <c r="E311"/>
  <c r="D314"/>
  <c r="C314"/>
  <c r="D313"/>
  <c r="C313"/>
  <c r="D312"/>
  <c r="C312"/>
  <c r="D311"/>
  <c r="C311"/>
  <c r="E314" i="1"/>
  <c r="D314"/>
  <c r="C314"/>
  <c r="D313"/>
  <c r="E313"/>
  <c r="C313"/>
  <c r="E312"/>
  <c r="D312"/>
  <c r="C312"/>
  <c r="E311"/>
  <c r="D311"/>
  <c r="C311"/>
  <c r="E310" i="4" l="1"/>
  <c r="E309"/>
  <c r="E308"/>
  <c r="E307"/>
  <c r="E306"/>
  <c r="E305"/>
  <c r="E304"/>
  <c r="E303"/>
  <c r="E302"/>
  <c r="E301"/>
  <c r="E300"/>
  <c r="E299"/>
  <c r="E298"/>
  <c r="C297"/>
  <c r="C298"/>
  <c r="C299"/>
  <c r="C300"/>
  <c r="C301"/>
  <c r="C302"/>
  <c r="C303"/>
  <c r="C304"/>
  <c r="C305"/>
  <c r="C306"/>
  <c r="C307"/>
  <c r="C308"/>
  <c r="C309"/>
  <c r="C310"/>
  <c r="D310"/>
  <c r="D309"/>
  <c r="D308"/>
  <c r="D307"/>
  <c r="D306"/>
  <c r="D305"/>
  <c r="D304"/>
  <c r="D303"/>
  <c r="D302"/>
  <c r="D301"/>
  <c r="D300"/>
  <c r="D299"/>
  <c r="D298"/>
  <c r="E297"/>
  <c r="D297"/>
  <c r="C297" i="1"/>
  <c r="C298"/>
  <c r="C299"/>
  <c r="C300"/>
  <c r="C301"/>
  <c r="C302"/>
  <c r="C303"/>
  <c r="C304"/>
  <c r="C305"/>
  <c r="C306"/>
  <c r="C307"/>
  <c r="C308"/>
  <c r="C309"/>
  <c r="C310"/>
  <c r="E310"/>
  <c r="D310"/>
  <c r="E309"/>
  <c r="D309"/>
  <c r="E308"/>
  <c r="D308"/>
  <c r="E307"/>
  <c r="D307"/>
  <c r="E306"/>
  <c r="D306"/>
  <c r="E305"/>
  <c r="D305"/>
  <c r="E304"/>
  <c r="E303"/>
  <c r="D303"/>
  <c r="E302"/>
  <c r="D302"/>
  <c r="E301"/>
  <c r="D301"/>
  <c r="E300"/>
  <c r="D300"/>
  <c r="E299"/>
  <c r="D299"/>
  <c r="E298"/>
  <c r="D298"/>
  <c r="E297"/>
  <c r="D297"/>
  <c r="E296" l="1"/>
  <c r="E296" i="4"/>
  <c r="E295"/>
  <c r="D296"/>
  <c r="C296"/>
  <c r="D295"/>
  <c r="C295"/>
  <c r="D296" i="1"/>
  <c r="C296"/>
  <c r="E295"/>
  <c r="D295"/>
  <c r="C295"/>
  <c r="D283" i="4" l="1"/>
  <c r="D283" i="1"/>
  <c r="E294" i="4" l="1"/>
  <c r="D294"/>
  <c r="C294"/>
  <c r="E294" i="1"/>
  <c r="D294"/>
  <c r="C294"/>
  <c r="E293" i="4"/>
  <c r="E292"/>
  <c r="E291"/>
  <c r="E290"/>
  <c r="E289"/>
  <c r="E288"/>
  <c r="E287"/>
  <c r="E286"/>
  <c r="E284"/>
  <c r="E283"/>
  <c r="E285"/>
  <c r="E282"/>
  <c r="D282"/>
  <c r="C282"/>
  <c r="E282" i="1"/>
  <c r="D282"/>
  <c r="C282"/>
  <c r="D293" i="4"/>
  <c r="C293"/>
  <c r="D292"/>
  <c r="C292"/>
  <c r="D291"/>
  <c r="C291"/>
  <c r="D290"/>
  <c r="C290"/>
  <c r="D289"/>
  <c r="C289"/>
  <c r="D288"/>
  <c r="C288"/>
  <c r="D287"/>
  <c r="C287"/>
  <c r="D286"/>
  <c r="C286"/>
  <c r="D285"/>
  <c r="C285"/>
  <c r="D284"/>
  <c r="C284"/>
  <c r="C283"/>
  <c r="E293" i="1"/>
  <c r="E292"/>
  <c r="E291"/>
  <c r="E290"/>
  <c r="E289"/>
  <c r="E288"/>
  <c r="E287"/>
  <c r="E286"/>
  <c r="E259"/>
  <c r="E285"/>
  <c r="E284"/>
  <c r="E283"/>
  <c r="D293"/>
  <c r="C293"/>
  <c r="D292"/>
  <c r="D291"/>
  <c r="D290"/>
  <c r="D289"/>
  <c r="C289"/>
  <c r="C290"/>
  <c r="C291"/>
  <c r="C292"/>
  <c r="D288"/>
  <c r="D287"/>
  <c r="D286"/>
  <c r="D285"/>
  <c r="D284"/>
  <c r="C284"/>
  <c r="C285"/>
  <c r="C286"/>
  <c r="C287"/>
  <c r="C288"/>
  <c r="C275"/>
  <c r="C274"/>
  <c r="E275"/>
  <c r="D275"/>
  <c r="E274"/>
  <c r="D274"/>
  <c r="C274" i="4" l="1"/>
  <c r="C275"/>
  <c r="C276"/>
  <c r="C277"/>
  <c r="C278"/>
  <c r="C279"/>
  <c r="C280"/>
  <c r="C281"/>
  <c r="D276"/>
  <c r="E281"/>
  <c r="E280"/>
  <c r="E279"/>
  <c r="E278"/>
  <c r="E277"/>
  <c r="E276"/>
  <c r="D281"/>
  <c r="D280"/>
  <c r="D279"/>
  <c r="D278"/>
  <c r="D277"/>
  <c r="C283" i="1"/>
  <c r="E281"/>
  <c r="D281"/>
  <c r="C281"/>
  <c r="E280"/>
  <c r="E279"/>
  <c r="D280"/>
  <c r="E276"/>
  <c r="D276"/>
  <c r="C276"/>
  <c r="C280"/>
  <c r="D279"/>
  <c r="C279"/>
  <c r="E278"/>
  <c r="D278"/>
  <c r="C278"/>
  <c r="E277"/>
  <c r="D277"/>
  <c r="D273"/>
  <c r="C277"/>
  <c r="C256"/>
  <c r="C273" i="4"/>
  <c r="C269"/>
  <c r="C270"/>
  <c r="C271"/>
  <c r="C272"/>
  <c r="C262"/>
  <c r="C263"/>
  <c r="C264"/>
  <c r="C265"/>
  <c r="C266"/>
  <c r="C267"/>
  <c r="C268"/>
  <c r="C256"/>
  <c r="C257"/>
  <c r="C258"/>
  <c r="C259"/>
  <c r="C260"/>
  <c r="C261"/>
  <c r="C269" i="1"/>
  <c r="C270"/>
  <c r="C271"/>
  <c r="C272"/>
  <c r="C273"/>
  <c r="C264"/>
  <c r="C265"/>
  <c r="C266"/>
  <c r="C267"/>
  <c r="C268"/>
  <c r="C257"/>
  <c r="C258"/>
  <c r="C259"/>
  <c r="C260"/>
  <c r="C261"/>
  <c r="C262"/>
  <c r="C263"/>
  <c r="C109" i="4"/>
  <c r="C110"/>
  <c r="C111"/>
  <c r="C112"/>
  <c r="C113"/>
  <c r="C114"/>
  <c r="C115"/>
  <c r="C116"/>
  <c r="C117"/>
  <c r="C118"/>
  <c r="C119"/>
  <c r="C120"/>
  <c r="C109" i="1"/>
  <c r="C110"/>
  <c r="C111"/>
  <c r="C112"/>
  <c r="C113"/>
  <c r="C114"/>
  <c r="C115"/>
  <c r="C116"/>
  <c r="C117"/>
  <c r="C118"/>
  <c r="C119"/>
  <c r="C120"/>
  <c r="C98" i="4"/>
  <c r="C99"/>
  <c r="C100"/>
  <c r="C101"/>
  <c r="C102"/>
  <c r="C103"/>
  <c r="C104"/>
  <c r="C105"/>
  <c r="C106"/>
  <c r="C107"/>
  <c r="C108"/>
  <c r="C98" i="1"/>
  <c r="C99"/>
  <c r="C100"/>
  <c r="C101"/>
  <c r="C102"/>
  <c r="C103"/>
  <c r="C104"/>
  <c r="C105"/>
  <c r="C106"/>
  <c r="C107"/>
  <c r="C108"/>
  <c r="C81" i="4"/>
  <c r="C82"/>
  <c r="C83"/>
  <c r="C84"/>
  <c r="C85"/>
  <c r="C86"/>
  <c r="C87"/>
  <c r="C88"/>
  <c r="C89"/>
  <c r="C90"/>
  <c r="C91"/>
  <c r="C92"/>
  <c r="C93"/>
  <c r="C94"/>
  <c r="C95"/>
  <c r="C96"/>
  <c r="C97"/>
  <c r="C81" i="1"/>
  <c r="C82"/>
  <c r="C83"/>
  <c r="C84"/>
  <c r="C85"/>
  <c r="C86"/>
  <c r="C87"/>
  <c r="C88"/>
  <c r="C89"/>
  <c r="C90"/>
  <c r="C91"/>
  <c r="C92"/>
  <c r="C93"/>
  <c r="C94"/>
  <c r="C95"/>
  <c r="C96"/>
  <c r="C97"/>
  <c r="C2" i="4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" i="1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N1" i="4"/>
  <c r="E152" s="1"/>
  <c r="C1"/>
  <c r="C1" i="1"/>
  <c r="N1"/>
  <c r="E62" s="1"/>
  <c r="B63" i="3"/>
  <c r="B64"/>
  <c r="B51"/>
  <c r="B52"/>
  <c r="B53"/>
  <c r="B54"/>
  <c r="B55"/>
  <c r="B56"/>
  <c r="B57"/>
  <c r="B58"/>
  <c r="B59"/>
  <c r="B60"/>
  <c r="B61"/>
  <c r="B62"/>
  <c r="B50" i="2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B1"/>
  <c r="B2" i="3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1"/>
  <c r="E269" i="4" l="1"/>
  <c r="E260"/>
  <c r="E87"/>
  <c r="E91"/>
  <c r="E95"/>
  <c r="D82"/>
  <c r="D86"/>
  <c r="D90"/>
  <c r="D94"/>
  <c r="E99"/>
  <c r="E103"/>
  <c r="E107"/>
  <c r="D100"/>
  <c r="D104"/>
  <c r="D108"/>
  <c r="E114"/>
  <c r="E120"/>
  <c r="D117"/>
  <c r="D113"/>
  <c r="E115"/>
  <c r="D112"/>
  <c r="D257"/>
  <c r="D261"/>
  <c r="D264"/>
  <c r="D268"/>
  <c r="D271"/>
  <c r="E257"/>
  <c r="E261"/>
  <c r="E266"/>
  <c r="E270"/>
  <c r="E273"/>
  <c r="E82"/>
  <c r="E86"/>
  <c r="E90"/>
  <c r="E94"/>
  <c r="D81"/>
  <c r="D85"/>
  <c r="D89"/>
  <c r="D93"/>
  <c r="D97"/>
  <c r="E98"/>
  <c r="E102"/>
  <c r="E106"/>
  <c r="D99"/>
  <c r="D103"/>
  <c r="D107"/>
  <c r="E113"/>
  <c r="E119"/>
  <c r="D110"/>
  <c r="D120"/>
  <c r="E112"/>
  <c r="D111"/>
  <c r="D256"/>
  <c r="D260"/>
  <c r="D263"/>
  <c r="D267"/>
  <c r="E256"/>
  <c r="E265"/>
  <c r="E272"/>
  <c r="E81"/>
  <c r="E85"/>
  <c r="E89"/>
  <c r="E93"/>
  <c r="E97"/>
  <c r="D84"/>
  <c r="D88"/>
  <c r="D92"/>
  <c r="D96"/>
  <c r="E101"/>
  <c r="E105"/>
  <c r="D98"/>
  <c r="D102"/>
  <c r="D106"/>
  <c r="E110"/>
  <c r="E118"/>
  <c r="D109"/>
  <c r="D119"/>
  <c r="D115"/>
  <c r="E116"/>
  <c r="D259"/>
  <c r="E262"/>
  <c r="D266"/>
  <c r="D270"/>
  <c r="D273"/>
  <c r="E259"/>
  <c r="E264"/>
  <c r="E268"/>
  <c r="E271"/>
  <c r="E84"/>
  <c r="E88"/>
  <c r="E92"/>
  <c r="E96"/>
  <c r="D83"/>
  <c r="D87"/>
  <c r="D91"/>
  <c r="D95"/>
  <c r="E100"/>
  <c r="E104"/>
  <c r="E108"/>
  <c r="D101"/>
  <c r="D105"/>
  <c r="E109"/>
  <c r="E117"/>
  <c r="D118"/>
  <c r="D114"/>
  <c r="E111"/>
  <c r="D116"/>
  <c r="D258"/>
  <c r="D262"/>
  <c r="D265"/>
  <c r="D269"/>
  <c r="D272"/>
  <c r="E258"/>
  <c r="E263"/>
  <c r="E267"/>
  <c r="E118" i="1"/>
  <c r="E120"/>
  <c r="D109"/>
  <c r="D117"/>
  <c r="E115"/>
  <c r="D116"/>
  <c r="E257"/>
  <c r="E260"/>
  <c r="E263"/>
  <c r="D265"/>
  <c r="D269"/>
  <c r="D272"/>
  <c r="E267"/>
  <c r="E264"/>
  <c r="D126"/>
  <c r="E119"/>
  <c r="D114"/>
  <c r="D120"/>
  <c r="E111"/>
  <c r="D112"/>
  <c r="D257"/>
  <c r="D259"/>
  <c r="D260"/>
  <c r="D263"/>
  <c r="D268"/>
  <c r="D271"/>
  <c r="E266"/>
  <c r="E270"/>
  <c r="E273"/>
  <c r="D188"/>
  <c r="D113"/>
  <c r="D119"/>
  <c r="E112"/>
  <c r="E116"/>
  <c r="D111"/>
  <c r="E256"/>
  <c r="E258"/>
  <c r="D261"/>
  <c r="E262"/>
  <c r="D267"/>
  <c r="E265"/>
  <c r="E269"/>
  <c r="E272"/>
  <c r="D110"/>
  <c r="D118"/>
  <c r="D115"/>
  <c r="D256"/>
  <c r="D258"/>
  <c r="E261"/>
  <c r="D262"/>
  <c r="D264"/>
  <c r="D266"/>
  <c r="D270"/>
  <c r="E268"/>
  <c r="E271"/>
  <c r="E108"/>
  <c r="D101"/>
  <c r="D105"/>
  <c r="E109"/>
  <c r="E114"/>
  <c r="E117"/>
  <c r="E206"/>
  <c r="E253"/>
  <c r="D100"/>
  <c r="D104"/>
  <c r="E113"/>
  <c r="E159"/>
  <c r="D99"/>
  <c r="D103"/>
  <c r="D107"/>
  <c r="D108"/>
  <c r="E110"/>
  <c r="E246"/>
  <c r="D250"/>
  <c r="D194"/>
  <c r="D98"/>
  <c r="D102"/>
  <c r="D106"/>
  <c r="D123"/>
  <c r="D249"/>
  <c r="E245"/>
  <c r="E250"/>
  <c r="E205"/>
  <c r="E192"/>
  <c r="E91"/>
  <c r="D85"/>
  <c r="E99"/>
  <c r="E103"/>
  <c r="E107"/>
  <c r="E160"/>
  <c r="E126"/>
  <c r="D246"/>
  <c r="D254"/>
  <c r="E249"/>
  <c r="D80"/>
  <c r="D192"/>
  <c r="E87"/>
  <c r="D81"/>
  <c r="D97"/>
  <c r="E98"/>
  <c r="E102"/>
  <c r="E106"/>
  <c r="E124"/>
  <c r="D245"/>
  <c r="D252"/>
  <c r="E248"/>
  <c r="E254"/>
  <c r="E188"/>
  <c r="D93"/>
  <c r="E101"/>
  <c r="E105"/>
  <c r="E96"/>
  <c r="D89"/>
  <c r="E100"/>
  <c r="E104"/>
  <c r="E84"/>
  <c r="E88"/>
  <c r="E93"/>
  <c r="E97"/>
  <c r="E92"/>
  <c r="D82"/>
  <c r="D86"/>
  <c r="D90"/>
  <c r="D94"/>
  <c r="E82"/>
  <c r="E86"/>
  <c r="E90"/>
  <c r="E95"/>
  <c r="D84"/>
  <c r="D88"/>
  <c r="D92"/>
  <c r="D96"/>
  <c r="E157"/>
  <c r="E123"/>
  <c r="D124"/>
  <c r="D248"/>
  <c r="D253"/>
  <c r="E244"/>
  <c r="E252"/>
  <c r="E239"/>
  <c r="D190"/>
  <c r="E81"/>
  <c r="E85"/>
  <c r="E89"/>
  <c r="E94"/>
  <c r="D83"/>
  <c r="D87"/>
  <c r="D91"/>
  <c r="D95"/>
  <c r="D192" i="4"/>
  <c r="E192"/>
  <c r="E239"/>
  <c r="D190"/>
  <c r="E190"/>
  <c r="E207"/>
  <c r="D207"/>
  <c r="D188"/>
  <c r="E188"/>
  <c r="E205"/>
  <c r="D205"/>
  <c r="D194"/>
  <c r="E194"/>
  <c r="D239"/>
  <c r="E80" i="1"/>
  <c r="E204"/>
  <c r="E125"/>
  <c r="D125"/>
  <c r="D247"/>
  <c r="D251"/>
  <c r="D255"/>
  <c r="E247"/>
  <c r="E251"/>
  <c r="E255"/>
  <c r="E207"/>
  <c r="E190"/>
  <c r="E194"/>
  <c r="D239"/>
  <c r="D207"/>
  <c r="D205"/>
  <c r="E80" i="4"/>
  <c r="E157"/>
  <c r="E124"/>
  <c r="D124"/>
  <c r="D248"/>
  <c r="D252"/>
  <c r="E245"/>
  <c r="E249"/>
  <c r="E253"/>
  <c r="E79"/>
  <c r="E122"/>
  <c r="E123"/>
  <c r="D123"/>
  <c r="D247"/>
  <c r="D251"/>
  <c r="D255"/>
  <c r="E248"/>
  <c r="E252"/>
  <c r="D126"/>
  <c r="D246"/>
  <c r="D250"/>
  <c r="D254"/>
  <c r="E247"/>
  <c r="E251"/>
  <c r="E255"/>
  <c r="E121"/>
  <c r="E159"/>
  <c r="E126"/>
  <c r="E158"/>
  <c r="E125"/>
  <c r="D125"/>
  <c r="D245"/>
  <c r="D249"/>
  <c r="D253"/>
  <c r="E246"/>
  <c r="E250"/>
  <c r="E254"/>
  <c r="D80"/>
  <c r="E77"/>
  <c r="E170"/>
  <c r="E174"/>
  <c r="E178"/>
  <c r="E183"/>
  <c r="E187"/>
  <c r="E195"/>
  <c r="E198"/>
  <c r="E202"/>
  <c r="E208"/>
  <c r="E214"/>
  <c r="E216"/>
  <c r="E220"/>
  <c r="E224"/>
  <c r="E228"/>
  <c r="E232"/>
  <c r="E236"/>
  <c r="E241"/>
  <c r="D52"/>
  <c r="D56"/>
  <c r="D60"/>
  <c r="D64"/>
  <c r="D68"/>
  <c r="D72"/>
  <c r="D76"/>
  <c r="D122"/>
  <c r="D130"/>
  <c r="D134"/>
  <c r="D138"/>
  <c r="D142"/>
  <c r="D146"/>
  <c r="D150"/>
  <c r="D154"/>
  <c r="D158"/>
  <c r="D162"/>
  <c r="D167"/>
  <c r="D171"/>
  <c r="D175"/>
  <c r="D179"/>
  <c r="D183"/>
  <c r="D187"/>
  <c r="D195"/>
  <c r="D199"/>
  <c r="D203"/>
  <c r="D209"/>
  <c r="D213"/>
  <c r="D217"/>
  <c r="D221"/>
  <c r="D225"/>
  <c r="D229"/>
  <c r="D233"/>
  <c r="D237"/>
  <c r="D242"/>
  <c r="D164"/>
  <c r="D79"/>
  <c r="E76"/>
  <c r="E169"/>
  <c r="E173"/>
  <c r="E177"/>
  <c r="E182"/>
  <c r="E185"/>
  <c r="E193"/>
  <c r="E186"/>
  <c r="E201"/>
  <c r="E206"/>
  <c r="E211"/>
  <c r="E215"/>
  <c r="E219"/>
  <c r="E223"/>
  <c r="E227"/>
  <c r="E231"/>
  <c r="E235"/>
  <c r="E240"/>
  <c r="D51"/>
  <c r="D55"/>
  <c r="D59"/>
  <c r="D63"/>
  <c r="D67"/>
  <c r="D71"/>
  <c r="D75"/>
  <c r="D121"/>
  <c r="D129"/>
  <c r="D133"/>
  <c r="D137"/>
  <c r="D141"/>
  <c r="D145"/>
  <c r="D149"/>
  <c r="D153"/>
  <c r="D157"/>
  <c r="D161"/>
  <c r="D166"/>
  <c r="D170"/>
  <c r="D174"/>
  <c r="D178"/>
  <c r="D182"/>
  <c r="D186"/>
  <c r="D193"/>
  <c r="D198"/>
  <c r="D202"/>
  <c r="D208"/>
  <c r="D212"/>
  <c r="D216"/>
  <c r="D220"/>
  <c r="D224"/>
  <c r="D228"/>
  <c r="D232"/>
  <c r="D236"/>
  <c r="D241"/>
  <c r="E165"/>
  <c r="E66"/>
  <c r="E168"/>
  <c r="E172"/>
  <c r="E176"/>
  <c r="E181"/>
  <c r="E184"/>
  <c r="E191"/>
  <c r="E197"/>
  <c r="E200"/>
  <c r="E204"/>
  <c r="E210"/>
  <c r="E213"/>
  <c r="E218"/>
  <c r="E222"/>
  <c r="E226"/>
  <c r="E230"/>
  <c r="E234"/>
  <c r="E238"/>
  <c r="E243"/>
  <c r="D54"/>
  <c r="D58"/>
  <c r="D62"/>
  <c r="D66"/>
  <c r="D70"/>
  <c r="D74"/>
  <c r="D78"/>
  <c r="D128"/>
  <c r="D132"/>
  <c r="D136"/>
  <c r="D140"/>
  <c r="D144"/>
  <c r="D148"/>
  <c r="D152"/>
  <c r="D156"/>
  <c r="D160"/>
  <c r="D165"/>
  <c r="D169"/>
  <c r="D173"/>
  <c r="D177"/>
  <c r="D181"/>
  <c r="D185"/>
  <c r="D191"/>
  <c r="D197"/>
  <c r="D201"/>
  <c r="D206"/>
  <c r="D211"/>
  <c r="D215"/>
  <c r="D219"/>
  <c r="D223"/>
  <c r="D227"/>
  <c r="D231"/>
  <c r="D235"/>
  <c r="D240"/>
  <c r="D244"/>
  <c r="E78"/>
  <c r="E244"/>
  <c r="E171"/>
  <c r="E175"/>
  <c r="E180"/>
  <c r="E179"/>
  <c r="E189"/>
  <c r="E196"/>
  <c r="E199"/>
  <c r="E203"/>
  <c r="E209"/>
  <c r="E212"/>
  <c r="E217"/>
  <c r="E221"/>
  <c r="E225"/>
  <c r="E229"/>
  <c r="E233"/>
  <c r="E237"/>
  <c r="E242"/>
  <c r="D53"/>
  <c r="D57"/>
  <c r="D61"/>
  <c r="D65"/>
  <c r="D69"/>
  <c r="D73"/>
  <c r="D77"/>
  <c r="D127"/>
  <c r="D131"/>
  <c r="D135"/>
  <c r="D139"/>
  <c r="D143"/>
  <c r="D147"/>
  <c r="D151"/>
  <c r="D155"/>
  <c r="D159"/>
  <c r="D163"/>
  <c r="D168"/>
  <c r="D172"/>
  <c r="D176"/>
  <c r="D180"/>
  <c r="D184"/>
  <c r="D189"/>
  <c r="D196"/>
  <c r="D200"/>
  <c r="D204"/>
  <c r="D210"/>
  <c r="D214"/>
  <c r="D218"/>
  <c r="D222"/>
  <c r="D226"/>
  <c r="D230"/>
  <c r="D234"/>
  <c r="D238"/>
  <c r="D243"/>
  <c r="D76" i="1"/>
  <c r="D66"/>
  <c r="D184"/>
  <c r="D163"/>
  <c r="D171"/>
  <c r="D179"/>
  <c r="D187"/>
  <c r="D195"/>
  <c r="D199"/>
  <c r="D203"/>
  <c r="D209"/>
  <c r="D215"/>
  <c r="D219"/>
  <c r="D223"/>
  <c r="D227"/>
  <c r="D231"/>
  <c r="D235"/>
  <c r="D240"/>
  <c r="D244"/>
  <c r="E168"/>
  <c r="E176"/>
  <c r="E180"/>
  <c r="E184"/>
  <c r="E196"/>
  <c r="E201"/>
  <c r="E211"/>
  <c r="E219"/>
  <c r="E223"/>
  <c r="E227"/>
  <c r="E233"/>
  <c r="E237"/>
  <c r="E243"/>
  <c r="E240"/>
  <c r="E216"/>
  <c r="E189"/>
  <c r="E169"/>
  <c r="E213"/>
  <c r="E165"/>
  <c r="D159"/>
  <c r="D168"/>
  <c r="D176"/>
  <c r="D186"/>
  <c r="D193"/>
  <c r="D198"/>
  <c r="D202"/>
  <c r="D208"/>
  <c r="D214"/>
  <c r="D218"/>
  <c r="D222"/>
  <c r="D226"/>
  <c r="D230"/>
  <c r="D234"/>
  <c r="D238"/>
  <c r="D243"/>
  <c r="E167"/>
  <c r="E175"/>
  <c r="E179"/>
  <c r="E183"/>
  <c r="E195"/>
  <c r="E200"/>
  <c r="E210"/>
  <c r="E218"/>
  <c r="E222"/>
  <c r="E226"/>
  <c r="E232"/>
  <c r="E236"/>
  <c r="E242"/>
  <c r="E217"/>
  <c r="E191"/>
  <c r="E170"/>
  <c r="E212"/>
  <c r="D78"/>
  <c r="D158"/>
  <c r="D167"/>
  <c r="D175"/>
  <c r="D160"/>
  <c r="D191"/>
  <c r="D197"/>
  <c r="D201"/>
  <c r="D206"/>
  <c r="D211"/>
  <c r="D217"/>
  <c r="D221"/>
  <c r="D225"/>
  <c r="D229"/>
  <c r="D233"/>
  <c r="D237"/>
  <c r="D242"/>
  <c r="E174"/>
  <c r="E178"/>
  <c r="E182"/>
  <c r="E186"/>
  <c r="E199"/>
  <c r="E203"/>
  <c r="E209"/>
  <c r="E214"/>
  <c r="E221"/>
  <c r="E225"/>
  <c r="E229"/>
  <c r="E235"/>
  <c r="E241"/>
  <c r="E173"/>
  <c r="E230"/>
  <c r="E193"/>
  <c r="E171"/>
  <c r="E121"/>
  <c r="D213"/>
  <c r="D70"/>
  <c r="E77"/>
  <c r="E66"/>
  <c r="D185"/>
  <c r="D164"/>
  <c r="D172"/>
  <c r="D180"/>
  <c r="D189"/>
  <c r="D196"/>
  <c r="D200"/>
  <c r="D204"/>
  <c r="D210"/>
  <c r="D216"/>
  <c r="D220"/>
  <c r="D224"/>
  <c r="D228"/>
  <c r="D232"/>
  <c r="D236"/>
  <c r="D241"/>
  <c r="E172"/>
  <c r="E177"/>
  <c r="E181"/>
  <c r="E185"/>
  <c r="E197"/>
  <c r="E202"/>
  <c r="E208"/>
  <c r="E198"/>
  <c r="E220"/>
  <c r="E224"/>
  <c r="E228"/>
  <c r="E234"/>
  <c r="E238"/>
  <c r="E231"/>
  <c r="E215"/>
  <c r="E187"/>
  <c r="E122"/>
  <c r="D212"/>
  <c r="E76"/>
  <c r="E78"/>
  <c r="D182"/>
  <c r="D156"/>
  <c r="D161"/>
  <c r="D165"/>
  <c r="D169"/>
  <c r="D173"/>
  <c r="D177"/>
  <c r="D181"/>
  <c r="D77"/>
  <c r="D183"/>
  <c r="D157"/>
  <c r="D162"/>
  <c r="D166"/>
  <c r="D170"/>
  <c r="D174"/>
  <c r="D178"/>
  <c r="E75" i="4"/>
  <c r="E162"/>
  <c r="E166"/>
  <c r="E74"/>
  <c r="E161"/>
  <c r="E156"/>
  <c r="E160"/>
  <c r="E164"/>
  <c r="E163"/>
  <c r="E167"/>
  <c r="E74" i="1"/>
  <c r="E75"/>
  <c r="D75"/>
  <c r="D74"/>
  <c r="E153"/>
  <c r="D151"/>
  <c r="D155"/>
  <c r="E162"/>
  <c r="E154"/>
  <c r="D150"/>
  <c r="D154"/>
  <c r="E161"/>
  <c r="E166"/>
  <c r="E155"/>
  <c r="D51"/>
  <c r="D153"/>
  <c r="E163"/>
  <c r="E158"/>
  <c r="E151"/>
  <c r="D152"/>
  <c r="E156"/>
  <c r="E164"/>
  <c r="E52" i="4"/>
  <c r="E60"/>
  <c r="E130"/>
  <c r="E134"/>
  <c r="E138"/>
  <c r="E141"/>
  <c r="E145"/>
  <c r="E149"/>
  <c r="E154"/>
  <c r="E55"/>
  <c r="E59"/>
  <c r="E70"/>
  <c r="E129"/>
  <c r="E133"/>
  <c r="E137"/>
  <c r="E140"/>
  <c r="E144"/>
  <c r="E148"/>
  <c r="E153"/>
  <c r="E53"/>
  <c r="E57"/>
  <c r="E61"/>
  <c r="E65"/>
  <c r="E68"/>
  <c r="E72"/>
  <c r="E127"/>
  <c r="E131"/>
  <c r="E135"/>
  <c r="E142"/>
  <c r="E146"/>
  <c r="E51"/>
  <c r="E151"/>
  <c r="E155"/>
  <c r="E56"/>
  <c r="E64"/>
  <c r="E71"/>
  <c r="E150"/>
  <c r="E63"/>
  <c r="E67"/>
  <c r="E54"/>
  <c r="E58"/>
  <c r="E62"/>
  <c r="E69"/>
  <c r="E73"/>
  <c r="E128"/>
  <c r="E132"/>
  <c r="E136"/>
  <c r="E139"/>
  <c r="E143"/>
  <c r="E147"/>
  <c r="D52" i="1"/>
  <c r="E58"/>
  <c r="E54"/>
  <c r="E68"/>
  <c r="E72"/>
  <c r="E127"/>
  <c r="E131"/>
  <c r="E135"/>
  <c r="E79"/>
  <c r="E143"/>
  <c r="D68"/>
  <c r="D72"/>
  <c r="D127"/>
  <c r="D131"/>
  <c r="D135"/>
  <c r="D79"/>
  <c r="D142"/>
  <c r="D146"/>
  <c r="E149"/>
  <c r="E51"/>
  <c r="E53"/>
  <c r="E67"/>
  <c r="E71"/>
  <c r="E130"/>
  <c r="E134"/>
  <c r="E138"/>
  <c r="E142"/>
  <c r="E144"/>
  <c r="D67"/>
  <c r="D71"/>
  <c r="D122"/>
  <c r="D130"/>
  <c r="D134"/>
  <c r="D138"/>
  <c r="D141"/>
  <c r="D145"/>
  <c r="E145"/>
  <c r="D149"/>
  <c r="E152"/>
  <c r="D64"/>
  <c r="D60"/>
  <c r="E65"/>
  <c r="E70"/>
  <c r="E129"/>
  <c r="E133"/>
  <c r="E137"/>
  <c r="E141"/>
  <c r="E146"/>
  <c r="D121"/>
  <c r="D129"/>
  <c r="D133"/>
  <c r="D137"/>
  <c r="D140"/>
  <c r="D144"/>
  <c r="D148"/>
  <c r="E148"/>
  <c r="D56"/>
  <c r="D65"/>
  <c r="E69"/>
  <c r="E73"/>
  <c r="E128"/>
  <c r="E132"/>
  <c r="E136"/>
  <c r="E139"/>
  <c r="E140"/>
  <c r="D69"/>
  <c r="D73"/>
  <c r="D128"/>
  <c r="D132"/>
  <c r="D136"/>
  <c r="D139"/>
  <c r="D143"/>
  <c r="D147"/>
  <c r="E147"/>
  <c r="E150"/>
  <c r="D55"/>
  <c r="D59"/>
  <c r="D63"/>
  <c r="E57"/>
  <c r="E61"/>
  <c r="D54"/>
  <c r="D58"/>
  <c r="D62"/>
  <c r="E52"/>
  <c r="E56"/>
  <c r="E60"/>
  <c r="E64"/>
  <c r="D53"/>
  <c r="D57"/>
  <c r="D61"/>
  <c r="E55"/>
  <c r="E59"/>
  <c r="E63"/>
</calcChain>
</file>

<file path=xl/sharedStrings.xml><?xml version="1.0" encoding="utf-8"?>
<sst xmlns="http://schemas.openxmlformats.org/spreadsheetml/2006/main" count="204" uniqueCount="154">
  <si>
    <t xml:space="preserve">     'Execution-Error'</t>
  </si>
  <si>
    <t xml:space="preserve">    'Execution error'</t>
  </si>
  <si>
    <t xml:space="preserve">     'Validation-Error'</t>
  </si>
  <si>
    <t xml:space="preserve">    'Data validation error.'</t>
  </si>
  <si>
    <t xml:space="preserve">     'Record-NotFound'</t>
  </si>
  <si>
    <t xml:space="preserve">    'The requested record was not found.'</t>
  </si>
  <si>
    <t xml:space="preserve">     'Login-Invalid-Password'</t>
  </si>
  <si>
    <t xml:space="preserve">    'Invalid password. You still have 0 attempts before the account is deactivated.'</t>
  </si>
  <si>
    <t xml:space="preserve">     'Login-Attempts'</t>
  </si>
  <si>
    <t xml:space="preserve">    'You have already used access attempts and the account has been disabled. Request activation.'</t>
  </si>
  <si>
    <t xml:space="preserve">     'Login-Inactive-Account'</t>
  </si>
  <si>
    <t xml:space="preserve">    'The account associated with the User is not active. Request account activation.'</t>
  </si>
  <si>
    <t xml:space="preserve">     'Login-Locked-Account'</t>
  </si>
  <si>
    <t xml:space="preserve">    'The account associated with the User is locked out. Contact your system administrator.'</t>
  </si>
  <si>
    <t xml:space="preserve">     'Login-User-NotFound'</t>
  </si>
  <si>
    <t xml:space="preserve">    'User not found.'</t>
  </si>
  <si>
    <t xml:space="preserve">     'User-Exists'</t>
  </si>
  <si>
    <t xml:space="preserve">    'There is already a user with the email'</t>
  </si>
  <si>
    <t xml:space="preserve">     'Email-Exists'</t>
  </si>
  <si>
    <t xml:space="preserve">    'The email you entered already exists.'</t>
  </si>
  <si>
    <t xml:space="preserve">     'Profile-NotBe-Null'</t>
  </si>
  <si>
    <t xml:space="preserve">    'The Profile cannot be null.'</t>
  </si>
  <si>
    <t xml:space="preserve">     'User-Error-Exclude-Childs'</t>
  </si>
  <si>
    <t xml:space="preserve">    'There was an error deleting child items (Roles).'</t>
  </si>
  <si>
    <t xml:space="preserve">     'User-Invalid-Password-Code'</t>
  </si>
  <si>
    <t xml:space="preserve">    'The password exchange authorization code is invalid.'</t>
  </si>
  <si>
    <t xml:space="preserve">     'Account-Active'</t>
  </si>
  <si>
    <t xml:space="preserve">    'The account associated with the User is already active.'</t>
  </si>
  <si>
    <t xml:space="preserve">     'User-Invalid-Activation-Code'</t>
  </si>
  <si>
    <t xml:space="preserve">    'The activation authorization code is invalid.'</t>
  </si>
  <si>
    <t xml:space="preserve">     'User-No-Image'</t>
  </si>
  <si>
    <t xml:space="preserve">    'Send the image file.'</t>
  </si>
  <si>
    <t xml:space="preserve">     'User-Role-Exists'</t>
  </si>
  <si>
    <t xml:space="preserve">    'This Role is already associated with the user.'</t>
  </si>
  <si>
    <t xml:space="preserve">     'User-Role-No-Exists'</t>
  </si>
  <si>
    <t xml:space="preserve">    'This Role does not belong to the user.'</t>
  </si>
  <si>
    <t xml:space="preserve">     'Http-Unauthorized'</t>
  </si>
  <si>
    <t xml:space="preserve">    'Unauthorized access'</t>
  </si>
  <si>
    <t xml:space="preserve">     'Http-NotFound'</t>
  </si>
  <si>
    <t xml:space="preserve">    'The resource could not be found'</t>
  </si>
  <si>
    <t xml:space="preserve">     'Http-Forbidden'</t>
  </si>
  <si>
    <t xml:space="preserve">    'User profile without access permission.'</t>
  </si>
  <si>
    <t xml:space="preserve">     'Http-500Error'</t>
  </si>
  <si>
    <t xml:space="preserve">    'An error occurred in the processing of the request.'</t>
  </si>
  <si>
    <t xml:space="preserve">     'Http-ServiceUnavailable'</t>
  </si>
  <si>
    <t xml:space="preserve">    'The requested service is unavailable.'</t>
  </si>
  <si>
    <t xml:space="preserve">     'API-Unexpected-Exception'</t>
  </si>
  <si>
    <t xml:space="preserve">    'Unexpected error not identified GetInnerExceptions@f2]'</t>
  </si>
  <si>
    <t xml:space="preserve">     'ShortDayName-1'</t>
  </si>
  <si>
    <t xml:space="preserve">    'Sun'</t>
  </si>
  <si>
    <t xml:space="preserve">     'ShortDayName-2'</t>
  </si>
  <si>
    <t xml:space="preserve">    'Mon'</t>
  </si>
  <si>
    <t xml:space="preserve">     'ShortDayName-3'</t>
  </si>
  <si>
    <t xml:space="preserve">    'Tue'</t>
  </si>
  <si>
    <t xml:space="preserve">     'ShortDayName-4'</t>
  </si>
  <si>
    <t xml:space="preserve">    'Wed'</t>
  </si>
  <si>
    <t xml:space="preserve">     'ShortDayName-5'</t>
  </si>
  <si>
    <t xml:space="preserve">    'Thu'</t>
  </si>
  <si>
    <t xml:space="preserve">     'ShortDayName-6'</t>
  </si>
  <si>
    <t xml:space="preserve">    'Fri'</t>
  </si>
  <si>
    <t xml:space="preserve">     'ShortDayName-7'</t>
  </si>
  <si>
    <t xml:space="preserve">    'Sat'  </t>
  </si>
  <si>
    <t xml:space="preserve">     'MonthName-1'</t>
  </si>
  <si>
    <t xml:space="preserve">    'JANUARY'</t>
  </si>
  <si>
    <t xml:space="preserve">     'MonthName-2'</t>
  </si>
  <si>
    <t xml:space="preserve">    'FEBRUARY'</t>
  </si>
  <si>
    <t xml:space="preserve">     'MonthName-3'</t>
  </si>
  <si>
    <t xml:space="preserve">    'MARCH'</t>
  </si>
  <si>
    <t xml:space="preserve">     'MonthName-4'</t>
  </si>
  <si>
    <t xml:space="preserve">    'APRIL'</t>
  </si>
  <si>
    <t xml:space="preserve">     'MonthName-5'</t>
  </si>
  <si>
    <t xml:space="preserve">    'MAY'</t>
  </si>
  <si>
    <t xml:space="preserve">     'MonthName-6'</t>
  </si>
  <si>
    <t xml:space="preserve">    'JUNE'</t>
  </si>
  <si>
    <t xml:space="preserve">     'MonthName-7'</t>
  </si>
  <si>
    <t xml:space="preserve">    'JULY'</t>
  </si>
  <si>
    <t xml:space="preserve">     'MonthName-8'</t>
  </si>
  <si>
    <t xml:space="preserve">    'AUGUST'</t>
  </si>
  <si>
    <t xml:space="preserve">     'MonthName-9'</t>
  </si>
  <si>
    <t xml:space="preserve">    'SEPTEMBER'</t>
  </si>
  <si>
    <t xml:space="preserve">     'MonthName-10'</t>
  </si>
  <si>
    <t xml:space="preserve">    'OCTOBER'</t>
  </si>
  <si>
    <t xml:space="preserve">     'MonthName-11'</t>
  </si>
  <si>
    <t xml:space="preserve">    'NOVEMBER'</t>
  </si>
  <si>
    <t xml:space="preserve">     'MonthName-12'</t>
  </si>
  <si>
    <t xml:space="preserve">    'DECEMBER'</t>
  </si>
  <si>
    <t xml:space="preserve">     'Validation-NotNull'</t>
  </si>
  <si>
    <t xml:space="preserve">    'cannot be null.'</t>
  </si>
  <si>
    <t xml:space="preserve">     'Validation-Max-Characters'</t>
  </si>
  <si>
    <t xml:space="preserve">     'Validation-Invalid-Field'</t>
  </si>
  <si>
    <t xml:space="preserve">     'Validation-Invalid-UserName'</t>
  </si>
  <si>
    <t xml:space="preserve">     'Validation-Unique-Value'</t>
  </si>
  <si>
    <t xml:space="preserve">     'User-Instance-Exists'</t>
  </si>
  <si>
    <t xml:space="preserve">    'This Instance is already associated with the user.'</t>
  </si>
  <si>
    <t xml:space="preserve">     'User-Instance-No-Exists'</t>
  </si>
  <si>
    <t xml:space="preserve">    'This Instance does not belong to the user.'</t>
  </si>
  <si>
    <t xml:space="preserve">    'Erro de execução '</t>
  </si>
  <si>
    <t xml:space="preserve">    'Erro na validação de dados.'</t>
  </si>
  <si>
    <t xml:space="preserve">    'O registro solicitado não foi encontrado.'</t>
  </si>
  <si>
    <t xml:space="preserve">    'Você já utilizou as tentativas de acesso e a conta foi desativada. Solicite a ativação.'</t>
  </si>
  <si>
    <t xml:space="preserve">    'A conta associada ao Usuário não está ativa. Solicite a ativação da conta.'</t>
  </si>
  <si>
    <t xml:space="preserve">    'A conta associada ao Usuário está bloqueada. Contate o administrador do sistema.'</t>
  </si>
  <si>
    <t xml:space="preserve">    'Usuário não encontrado.'</t>
  </si>
  <si>
    <t xml:space="preserve">    'Já existe um usuário com o e-mail '</t>
  </si>
  <si>
    <t xml:space="preserve">    'O e-mail informado já existe.'</t>
  </si>
  <si>
    <t xml:space="preserve">    'O Perfil não pode ser nulo.'</t>
  </si>
  <si>
    <t xml:space="preserve">    'Houve um erro ao excluir os itens filhos (Roles).'</t>
  </si>
  <si>
    <t xml:space="preserve">    'O código de autorização de troca de senha é inválido.'</t>
  </si>
  <si>
    <t xml:space="preserve">    'A conta associada ao Usuário já está ativa.'</t>
  </si>
  <si>
    <t xml:space="preserve">    'O código de autorização de ativação é inválido.'</t>
  </si>
  <si>
    <t xml:space="preserve">    'Envie o arquivo da imagem.'</t>
  </si>
  <si>
    <t xml:space="preserve">    'Esta Role já está associada ao usuário.'</t>
  </si>
  <si>
    <t xml:space="preserve">    'Esta Role não pertence ao usuário.'</t>
  </si>
  <si>
    <t xml:space="preserve">    'Acesso não autorizado'</t>
  </si>
  <si>
    <t xml:space="preserve">    'O recurso não foi encontrado'</t>
  </si>
  <si>
    <t xml:space="preserve">    'Perfil do usuário sem permissão de acesso'</t>
  </si>
  <si>
    <t xml:space="preserve">    'Ocorreu um erro no processamento da requisição.'</t>
  </si>
  <si>
    <t xml:space="preserve">    'O serviço solicitado está indisponível.'</t>
  </si>
  <si>
    <t xml:space="preserve">    'Erro inesperado não identificado GetInnerExceptions@f2]'</t>
  </si>
  <si>
    <t xml:space="preserve">    'Dom'</t>
  </si>
  <si>
    <t xml:space="preserve">    'Seg'</t>
  </si>
  <si>
    <t xml:space="preserve">    'Ter'</t>
  </si>
  <si>
    <t xml:space="preserve">    'Qua'</t>
  </si>
  <si>
    <t xml:space="preserve">    'Qui'</t>
  </si>
  <si>
    <t xml:space="preserve">    'Sex'</t>
  </si>
  <si>
    <t xml:space="preserve">    'Sáb'</t>
  </si>
  <si>
    <t xml:space="preserve">    'JANEIRO'</t>
  </si>
  <si>
    <t xml:space="preserve">    'FEVEREIRO'</t>
  </si>
  <si>
    <t xml:space="preserve">    'MARÇO'</t>
  </si>
  <si>
    <t xml:space="preserve">    'ABRIL'</t>
  </si>
  <si>
    <t xml:space="preserve">    'MAIO'</t>
  </si>
  <si>
    <t xml:space="preserve">    'JUNHO'</t>
  </si>
  <si>
    <t xml:space="preserve">    'JULHO'</t>
  </si>
  <si>
    <t xml:space="preserve">    'AGOSTO'</t>
  </si>
  <si>
    <t xml:space="preserve">    'SETEMBRO'</t>
  </si>
  <si>
    <t xml:space="preserve">    'OUTUBRO'</t>
  </si>
  <si>
    <t xml:space="preserve">    'NOVEMBRO'</t>
  </si>
  <si>
    <t xml:space="preserve">    'DEZEMBRO'</t>
  </si>
  <si>
    <t xml:space="preserve">    'não pode ser nulo.'</t>
  </si>
  <si>
    <t xml:space="preserve">    'Esta Instância já está associada ao Usuário.'</t>
  </si>
  <si>
    <t xml:space="preserve">    'Esta Instância não pertence ao Usuário.'</t>
  </si>
  <si>
    <t xml:space="preserve">    'O campo {0} não pode ter mais de maxlength caracteres.'</t>
  </si>
  <si>
    <t xml:space="preserve">    'O campo {0} é inválido.'</t>
  </si>
  <si>
    <t xml:space="preserve">    'O campo {0} é inválido. Não use caracteres especiais ou espaços.'</t>
  </si>
  <si>
    <t xml:space="preserve">    'O campo {0} é inválido. O valor informado deve ser único.'</t>
  </si>
  <si>
    <t xml:space="preserve">    'The {0} field cannot have more than 1 characters.'</t>
  </si>
  <si>
    <t xml:space="preserve">    'The {0} field is invalid.'</t>
  </si>
  <si>
    <t xml:space="preserve">    'The {0} field is invalid. Do not use special characters or spaces.'</t>
  </si>
  <si>
    <t xml:space="preserve">    'The {0} field is invalid. Value must be unique.'</t>
  </si>
  <si>
    <t xml:space="preserve">    'Senha inválida. Você ainda tem {0} tentativas antes da conta ser desativada.'</t>
  </si>
  <si>
    <t>'ChangeUserLanguage-Title'</t>
  </si>
  <si>
    <t>'ChangeUserLanguage-Message'</t>
  </si>
  <si>
    <t>'Alterar linguagem do usuário'</t>
  </si>
  <si>
    <t>'A linguagem do usuário foi alterada com sucesso. Faça login novamente.'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</si>
</sst>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7"/>
  <sheetViews>
    <sheetView tabSelected="1" workbookViewId="0">
      <selection activeCell="F1" sqref="F1"/>
    </sheetView>
  </sheetViews>
  <sheetFormatPr defaultRowHeight="15"/>
  <cols>
    <col min="1" max="1" width="8.85546875" customWidth="1"/>
    <col min="2" max="2" width="11.140625" style="2" customWidth="1"/>
    <col min="3" max="3" width="8.5703125" customWidth="1"/>
    <col min="4" max="4" width="49.140625" customWidth="1"/>
    <col min="5" max="5" width="51.28515625" customWidth="1"/>
    <col min="6" max="6" width="45.140625" customWidth="1"/>
    <col min="7" max="7" width="70.7109375" customWidth="1"/>
  </cols>
  <sheetData>
    <row r="1" spans="1:14">
      <c r="A1">
        <v>1001</v>
      </c>
      <c r="B1" s="2">
        <v>1</v>
      </c>
      <c r="C1" t="str">
        <f>"'" &amp; A1 &amp; "'"</f>
        <v>'1001'</v>
      </c>
      <c r="D1" t="s">
        <v>0</v>
      </c>
      <c r="E1" t="s">
        <v>1</v>
      </c>
      <c r="F1" t="str">
        <f>"insert into sysLocalizationText Values(" &amp;A1 &amp; "," &amp;C1 &amp; "," &amp; D1 &amp; "," &amp; E1 &amp; ",getdate(),getdate()," &amp; B1 &amp; ")"</f>
        <v>insert into sysLocalizationText Values(1001,'1001',     'Execution-Error',    'Execution error',getdate(),getdate(),1)</v>
      </c>
      <c r="N1" t="str">
        <f>"'"</f>
        <v>'</v>
      </c>
    </row>
    <row r="2" spans="1:14">
      <c r="A2">
        <v>1002</v>
      </c>
      <c r="B2" s="2">
        <v>1</v>
      </c>
      <c r="C2" t="str">
        <f t="shared" ref="C2:C65" si="0">"'" &amp; A2 &amp; "'"</f>
        <v>'1002'</v>
      </c>
      <c r="D2" t="s">
        <v>2</v>
      </c>
      <c r="E2" t="s">
        <v>3</v>
      </c>
      <c r="F2" t="str">
        <f t="shared" ref="F2:F65" si="1">"insert into sysLocalizationText Values(" &amp;A2 &amp; "," &amp;C2 &amp; "," &amp; D2 &amp; "," &amp; E2 &amp; ",getdate(),getdate()," &amp; B2 &amp; ")"</f>
        <v>insert into sysLocalizationText Values(1002,'1002',     'Validation-Error',    'Data validation error.',getdate(),getdate(),1)</v>
      </c>
    </row>
    <row r="3" spans="1:14">
      <c r="A3">
        <v>1003</v>
      </c>
      <c r="B3" s="2">
        <v>1</v>
      </c>
      <c r="C3" t="str">
        <f t="shared" si="0"/>
        <v>'1003'</v>
      </c>
      <c r="D3" t="s">
        <v>4</v>
      </c>
      <c r="E3" t="s">
        <v>5</v>
      </c>
      <c r="F3" t="str">
        <f t="shared" si="1"/>
        <v>insert into sysLocalizationText Values(1003,'1003',     'Record-NotFound',    'The requested record was not found.',getdate(),getdate(),1)</v>
      </c>
    </row>
    <row r="4" spans="1:14">
      <c r="A4">
        <v>1004</v>
      </c>
      <c r="B4" s="2">
        <v>1</v>
      </c>
      <c r="C4" t="str">
        <f t="shared" si="0"/>
        <v>'1004'</v>
      </c>
      <c r="D4" t="s">
        <v>6</v>
      </c>
      <c r="E4" t="s">
        <v>7</v>
      </c>
      <c r="F4" t="str">
        <f t="shared" si="1"/>
        <v>insert into sysLocalizationText Values(1004,'1004',     'Login-Invalid-Password',    'Invalid password. You still have 0 attempts before the account is deactivated.',getdate(),getdate(),1)</v>
      </c>
    </row>
    <row r="5" spans="1:14">
      <c r="A5">
        <v>1005</v>
      </c>
      <c r="B5" s="2">
        <v>1</v>
      </c>
      <c r="C5" t="str">
        <f t="shared" si="0"/>
        <v>'1005'</v>
      </c>
      <c r="D5" t="s">
        <v>8</v>
      </c>
      <c r="E5" t="s">
        <v>9</v>
      </c>
      <c r="F5" t="str">
        <f t="shared" si="1"/>
        <v>insert into sysLocalizationText Values(1005,'1005',     'Login-Attempts',    'You have already used access attempts and the account has been disabled. Request activation.',getdate(),getdate(),1)</v>
      </c>
    </row>
    <row r="6" spans="1:14">
      <c r="A6">
        <v>1006</v>
      </c>
      <c r="B6" s="2">
        <v>1</v>
      </c>
      <c r="C6" t="str">
        <f t="shared" si="0"/>
        <v>'1006'</v>
      </c>
      <c r="D6" t="s">
        <v>10</v>
      </c>
      <c r="E6" t="s">
        <v>11</v>
      </c>
      <c r="F6" t="str">
        <f t="shared" si="1"/>
        <v>insert into sysLocalizationText Values(1006,'1006',     'Login-Inactive-Account',    'The account associated with the User is not active. Request account activation.',getdate(),getdate(),1)</v>
      </c>
    </row>
    <row r="7" spans="1:14">
      <c r="A7">
        <v>1007</v>
      </c>
      <c r="B7" s="2">
        <v>1</v>
      </c>
      <c r="C7" t="str">
        <f t="shared" si="0"/>
        <v>'1007'</v>
      </c>
      <c r="D7" t="s">
        <v>12</v>
      </c>
      <c r="E7" t="s">
        <v>13</v>
      </c>
      <c r="F7" t="str">
        <f t="shared" si="1"/>
        <v>insert into sysLocalizationText Values(1007,'1007',     'Login-Locked-Account',    'The account associated with the User is locked out. Contact your system administrator.',getdate(),getdate(),1)</v>
      </c>
    </row>
    <row r="8" spans="1:14">
      <c r="A8">
        <v>1008</v>
      </c>
      <c r="B8" s="2">
        <v>1</v>
      </c>
      <c r="C8" t="str">
        <f t="shared" si="0"/>
        <v>'1008'</v>
      </c>
      <c r="D8" t="s">
        <v>14</v>
      </c>
      <c r="E8" t="s">
        <v>15</v>
      </c>
      <c r="F8" t="str">
        <f t="shared" si="1"/>
        <v>insert into sysLocalizationText Values(1008,'1008',     'Login-User-NotFound',    'User not found.',getdate(),getdate(),1)</v>
      </c>
    </row>
    <row r="9" spans="1:14">
      <c r="A9">
        <v>1009</v>
      </c>
      <c r="B9" s="2">
        <v>1</v>
      </c>
      <c r="C9" t="str">
        <f t="shared" si="0"/>
        <v>'1009'</v>
      </c>
      <c r="D9" t="s">
        <v>16</v>
      </c>
      <c r="E9" t="s">
        <v>17</v>
      </c>
      <c r="F9" t="str">
        <f t="shared" si="1"/>
        <v>insert into sysLocalizationText Values(1009,'1009',     'User-Exists',    'There is already a user with the email',getdate(),getdate(),1)</v>
      </c>
    </row>
    <row r="10" spans="1:14">
      <c r="A10">
        <v>1010</v>
      </c>
      <c r="B10" s="2">
        <v>1</v>
      </c>
      <c r="C10" t="str">
        <f t="shared" si="0"/>
        <v>'1010'</v>
      </c>
      <c r="D10" t="s">
        <v>18</v>
      </c>
      <c r="E10" t="s">
        <v>19</v>
      </c>
      <c r="F10" t="str">
        <f t="shared" si="1"/>
        <v>insert into sysLocalizationText Values(1010,'1010',     'Email-Exists',    'The email you entered already exists.',getdate(),getdate(),1)</v>
      </c>
    </row>
    <row r="11" spans="1:14">
      <c r="A11">
        <v>1011</v>
      </c>
      <c r="B11" s="2">
        <v>1</v>
      </c>
      <c r="C11" t="str">
        <f t="shared" si="0"/>
        <v>'1011'</v>
      </c>
      <c r="D11" t="s">
        <v>20</v>
      </c>
      <c r="E11" t="s">
        <v>21</v>
      </c>
      <c r="F11" t="str">
        <f t="shared" si="1"/>
        <v>insert into sysLocalizationText Values(1011,'1011',     'Profile-NotBe-Null',    'The Profile cannot be null.',getdate(),getdate(),1)</v>
      </c>
    </row>
    <row r="12" spans="1:14">
      <c r="A12">
        <v>1012</v>
      </c>
      <c r="B12" s="2">
        <v>1</v>
      </c>
      <c r="C12" t="str">
        <f t="shared" si="0"/>
        <v>'1012'</v>
      </c>
      <c r="D12" t="s">
        <v>22</v>
      </c>
      <c r="E12" t="s">
        <v>23</v>
      </c>
      <c r="F12" t="str">
        <f t="shared" si="1"/>
        <v>insert into sysLocalizationText Values(1012,'1012',     'User-Error-Exclude-Childs',    'There was an error deleting child items (Roles).',getdate(),getdate(),1)</v>
      </c>
    </row>
    <row r="13" spans="1:14">
      <c r="A13">
        <v>1013</v>
      </c>
      <c r="B13" s="2">
        <v>1</v>
      </c>
      <c r="C13" t="str">
        <f t="shared" si="0"/>
        <v>'1013'</v>
      </c>
      <c r="D13" t="s">
        <v>24</v>
      </c>
      <c r="E13" t="s">
        <v>25</v>
      </c>
      <c r="F13" t="str">
        <f t="shared" si="1"/>
        <v>insert into sysLocalizationText Values(1013,'1013',     'User-Invalid-Password-Code',    'The password exchange authorization code is invalid.',getdate(),getdate(),1)</v>
      </c>
    </row>
    <row r="14" spans="1:14">
      <c r="A14">
        <v>1014</v>
      </c>
      <c r="B14" s="2">
        <v>1</v>
      </c>
      <c r="C14" t="str">
        <f t="shared" si="0"/>
        <v>'1014'</v>
      </c>
      <c r="D14" t="s">
        <v>26</v>
      </c>
      <c r="E14" t="s">
        <v>27</v>
      </c>
      <c r="F14" t="str">
        <f t="shared" si="1"/>
        <v>insert into sysLocalizationText Values(1014,'1014',     'Account-Active',    'The account associated with the User is already active.',getdate(),getdate(),1)</v>
      </c>
    </row>
    <row r="15" spans="1:14">
      <c r="A15">
        <v>1015</v>
      </c>
      <c r="B15" s="2">
        <v>1</v>
      </c>
      <c r="C15" t="str">
        <f t="shared" si="0"/>
        <v>'1015'</v>
      </c>
      <c r="D15" t="s">
        <v>28</v>
      </c>
      <c r="E15" t="s">
        <v>29</v>
      </c>
      <c r="F15" t="str">
        <f t="shared" si="1"/>
        <v>insert into sysLocalizationText Values(1015,'1015',     'User-Invalid-Activation-Code',    'The activation authorization code is invalid.',getdate(),getdate(),1)</v>
      </c>
    </row>
    <row r="16" spans="1:14">
      <c r="A16">
        <v>1016</v>
      </c>
      <c r="B16" s="2">
        <v>1</v>
      </c>
      <c r="C16" t="str">
        <f t="shared" si="0"/>
        <v>'1016'</v>
      </c>
      <c r="D16" t="s">
        <v>30</v>
      </c>
      <c r="E16" t="s">
        <v>31</v>
      </c>
      <c r="F16" t="str">
        <f t="shared" si="1"/>
        <v>insert into sysLocalizationText Values(1016,'1016',     'User-No-Image',    'Send the image file.',getdate(),getdate(),1)</v>
      </c>
    </row>
    <row r="17" spans="1:6">
      <c r="A17">
        <v>1017</v>
      </c>
      <c r="B17" s="2">
        <v>1</v>
      </c>
      <c r="C17" t="str">
        <f t="shared" si="0"/>
        <v>'1017'</v>
      </c>
      <c r="D17" t="s">
        <v>32</v>
      </c>
      <c r="E17" t="s">
        <v>33</v>
      </c>
      <c r="F17" t="str">
        <f t="shared" si="1"/>
        <v>insert into sysLocalizationText Values(1017,'1017',     'User-Role-Exists',    'This Role is already associated with the user.',getdate(),getdate(),1)</v>
      </c>
    </row>
    <row r="18" spans="1:6">
      <c r="A18">
        <v>1018</v>
      </c>
      <c r="B18" s="2">
        <v>1</v>
      </c>
      <c r="C18" t="str">
        <f t="shared" si="0"/>
        <v>'1018'</v>
      </c>
      <c r="D18" t="s">
        <v>34</v>
      </c>
      <c r="E18" t="s">
        <v>35</v>
      </c>
      <c r="F18" t="str">
        <f t="shared" si="1"/>
        <v>insert into sysLocalizationText Values(1018,'1018',     'User-Role-No-Exists',    'This Role does not belong to the user.',getdate(),getdate(),1)</v>
      </c>
    </row>
    <row r="19" spans="1:6">
      <c r="A19">
        <v>1019</v>
      </c>
      <c r="B19" s="2">
        <v>1</v>
      </c>
      <c r="C19" t="str">
        <f t="shared" si="0"/>
        <v>'1019'</v>
      </c>
      <c r="D19" t="s">
        <v>36</v>
      </c>
      <c r="E19" t="s">
        <v>37</v>
      </c>
      <c r="F19" t="str">
        <f t="shared" si="1"/>
        <v>insert into sysLocalizationText Values(1019,'1019',     'Http-Unauthorized',    'Unauthorized access',getdate(),getdate(),1)</v>
      </c>
    </row>
    <row r="20" spans="1:6">
      <c r="A20">
        <v>1020</v>
      </c>
      <c r="B20" s="2">
        <v>1</v>
      </c>
      <c r="C20" t="str">
        <f t="shared" si="0"/>
        <v>'1020'</v>
      </c>
      <c r="D20" t="s">
        <v>38</v>
      </c>
      <c r="E20" t="s">
        <v>39</v>
      </c>
      <c r="F20" t="str">
        <f t="shared" si="1"/>
        <v>insert into sysLocalizationText Values(1020,'1020',     'Http-NotFound',    'The resource could not be found',getdate(),getdate(),1)</v>
      </c>
    </row>
    <row r="21" spans="1:6">
      <c r="A21">
        <v>1021</v>
      </c>
      <c r="B21" s="2">
        <v>1</v>
      </c>
      <c r="C21" t="str">
        <f t="shared" si="0"/>
        <v>'1021'</v>
      </c>
      <c r="D21" t="s">
        <v>40</v>
      </c>
      <c r="E21" t="s">
        <v>41</v>
      </c>
      <c r="F21" t="str">
        <f t="shared" si="1"/>
        <v>insert into sysLocalizationText Values(1021,'1021',     'Http-Forbidden',    'User profile without access permission.',getdate(),getdate(),1)</v>
      </c>
    </row>
    <row r="22" spans="1:6">
      <c r="A22">
        <v>1022</v>
      </c>
      <c r="B22" s="2">
        <v>1</v>
      </c>
      <c r="C22" t="str">
        <f t="shared" si="0"/>
        <v>'1022'</v>
      </c>
      <c r="D22" t="s">
        <v>42</v>
      </c>
      <c r="E22" t="s">
        <v>43</v>
      </c>
      <c r="F22" t="str">
        <f t="shared" si="1"/>
        <v>insert into sysLocalizationText Values(1022,'1022',     'Http-500Error',    'An error occurred in the processing of the request.',getdate(),getdate(),1)</v>
      </c>
    </row>
    <row r="23" spans="1:6">
      <c r="A23">
        <v>1023</v>
      </c>
      <c r="B23" s="2">
        <v>1</v>
      </c>
      <c r="C23" t="str">
        <f t="shared" si="0"/>
        <v>'1023'</v>
      </c>
      <c r="D23" t="s">
        <v>44</v>
      </c>
      <c r="E23" t="s">
        <v>45</v>
      </c>
      <c r="F23" t="str">
        <f t="shared" si="1"/>
        <v>insert into sysLocalizationText Values(1023,'1023',     'Http-ServiceUnavailable',    'The requested service is unavailable.',getdate(),getdate(),1)</v>
      </c>
    </row>
    <row r="24" spans="1:6">
      <c r="A24">
        <v>1024</v>
      </c>
      <c r="B24" s="2">
        <v>1</v>
      </c>
      <c r="C24" t="str">
        <f t="shared" si="0"/>
        <v>'1024'</v>
      </c>
      <c r="D24" t="s">
        <v>46</v>
      </c>
      <c r="E24" t="s">
        <v>47</v>
      </c>
      <c r="F24" t="str">
        <f t="shared" si="1"/>
        <v>insert into sysLocalizationText Values(1024,'1024',     'API-Unexpected-Exception',    'Unexpected error not identified GetInnerExceptions@f2]',getdate(),getdate(),1)</v>
      </c>
    </row>
    <row r="25" spans="1:6">
      <c r="A25">
        <v>1025</v>
      </c>
      <c r="B25" s="2">
        <v>1</v>
      </c>
      <c r="C25" t="str">
        <f t="shared" si="0"/>
        <v>'1025'</v>
      </c>
      <c r="D25" t="s">
        <v>48</v>
      </c>
      <c r="E25" t="s">
        <v>49</v>
      </c>
      <c r="F25" t="str">
        <f t="shared" si="1"/>
        <v>insert into sysLocalizationText Values(1025,'1025',     'ShortDayName-1',    'Sun',getdate(),getdate(),1)</v>
      </c>
    </row>
    <row r="26" spans="1:6">
      <c r="A26">
        <v>1026</v>
      </c>
      <c r="B26" s="2">
        <v>1</v>
      </c>
      <c r="C26" t="str">
        <f t="shared" si="0"/>
        <v>'1026'</v>
      </c>
      <c r="D26" t="s">
        <v>50</v>
      </c>
      <c r="E26" t="s">
        <v>51</v>
      </c>
      <c r="F26" t="str">
        <f t="shared" si="1"/>
        <v>insert into sysLocalizationText Values(1026,'1026',     'ShortDayName-2',    'Mon',getdate(),getdate(),1)</v>
      </c>
    </row>
    <row r="27" spans="1:6">
      <c r="A27">
        <v>1027</v>
      </c>
      <c r="B27" s="2">
        <v>1</v>
      </c>
      <c r="C27" t="str">
        <f t="shared" si="0"/>
        <v>'1027'</v>
      </c>
      <c r="D27" t="s">
        <v>52</v>
      </c>
      <c r="E27" t="s">
        <v>53</v>
      </c>
      <c r="F27" t="str">
        <f t="shared" si="1"/>
        <v>insert into sysLocalizationText Values(1027,'1027',     'ShortDayName-3',    'Tue',getdate(),getdate(),1)</v>
      </c>
    </row>
    <row r="28" spans="1:6">
      <c r="A28">
        <v>1028</v>
      </c>
      <c r="B28" s="2">
        <v>1</v>
      </c>
      <c r="C28" t="str">
        <f t="shared" si="0"/>
        <v>'1028'</v>
      </c>
      <c r="D28" t="s">
        <v>54</v>
      </c>
      <c r="E28" t="s">
        <v>55</v>
      </c>
      <c r="F28" t="str">
        <f t="shared" si="1"/>
        <v>insert into sysLocalizationText Values(1028,'1028',     'ShortDayName-4',    'Wed',getdate(),getdate(),1)</v>
      </c>
    </row>
    <row r="29" spans="1:6">
      <c r="A29">
        <v>1029</v>
      </c>
      <c r="B29" s="2">
        <v>1</v>
      </c>
      <c r="C29" t="str">
        <f t="shared" si="0"/>
        <v>'1029'</v>
      </c>
      <c r="D29" t="s">
        <v>56</v>
      </c>
      <c r="E29" t="s">
        <v>57</v>
      </c>
      <c r="F29" t="str">
        <f t="shared" si="1"/>
        <v>insert into sysLocalizationText Values(1029,'1029',     'ShortDayName-5',    'Thu',getdate(),getdate(),1)</v>
      </c>
    </row>
    <row r="30" spans="1:6">
      <c r="A30">
        <v>1030</v>
      </c>
      <c r="B30" s="2">
        <v>1</v>
      </c>
      <c r="C30" t="str">
        <f t="shared" si="0"/>
        <v>'1030'</v>
      </c>
      <c r="D30" t="s">
        <v>58</v>
      </c>
      <c r="E30" t="s">
        <v>59</v>
      </c>
      <c r="F30" t="str">
        <f t="shared" si="1"/>
        <v>insert into sysLocalizationText Values(1030,'1030',     'ShortDayName-6',    'Fri',getdate(),getdate(),1)</v>
      </c>
    </row>
    <row r="31" spans="1:6">
      <c r="A31">
        <v>1031</v>
      </c>
      <c r="B31" s="2">
        <v>1</v>
      </c>
      <c r="C31" t="str">
        <f t="shared" si="0"/>
        <v>'1031'</v>
      </c>
      <c r="D31" t="s">
        <v>60</v>
      </c>
      <c r="E31" t="s">
        <v>61</v>
      </c>
      <c r="F31" t="str">
        <f t="shared" si="1"/>
        <v>insert into sysLocalizationText Values(1031,'1031',     'ShortDayName-7',    'Sat'  ,getdate(),getdate(),1)</v>
      </c>
    </row>
    <row r="32" spans="1:6">
      <c r="A32">
        <v>1032</v>
      </c>
      <c r="B32" s="2">
        <v>1</v>
      </c>
      <c r="C32" t="str">
        <f t="shared" si="0"/>
        <v>'1032'</v>
      </c>
      <c r="D32" t="s">
        <v>62</v>
      </c>
      <c r="E32" t="s">
        <v>63</v>
      </c>
      <c r="F32" t="str">
        <f t="shared" si="1"/>
        <v>insert into sysLocalizationText Values(1032,'1032',     'MonthName-1',    'JANUARY',getdate(),getdate(),1)</v>
      </c>
    </row>
    <row r="33" spans="1:6">
      <c r="A33">
        <v>1033</v>
      </c>
      <c r="B33" s="2">
        <v>1</v>
      </c>
      <c r="C33" t="str">
        <f t="shared" si="0"/>
        <v>'1033'</v>
      </c>
      <c r="D33" t="s">
        <v>64</v>
      </c>
      <c r="E33" t="s">
        <v>65</v>
      </c>
      <c r="F33" t="str">
        <f t="shared" si="1"/>
        <v>insert into sysLocalizationText Values(1033,'1033',     'MonthName-2',    'FEBRUARY',getdate(),getdate(),1)</v>
      </c>
    </row>
    <row r="34" spans="1:6">
      <c r="A34">
        <v>1034</v>
      </c>
      <c r="B34" s="2">
        <v>1</v>
      </c>
      <c r="C34" t="str">
        <f t="shared" si="0"/>
        <v>'1034'</v>
      </c>
      <c r="D34" t="s">
        <v>66</v>
      </c>
      <c r="E34" t="s">
        <v>67</v>
      </c>
      <c r="F34" t="str">
        <f t="shared" si="1"/>
        <v>insert into sysLocalizationText Values(1034,'1034',     'MonthName-3',    'MARCH',getdate(),getdate(),1)</v>
      </c>
    </row>
    <row r="35" spans="1:6">
      <c r="A35">
        <v>1035</v>
      </c>
      <c r="B35" s="2">
        <v>1</v>
      </c>
      <c r="C35" t="str">
        <f t="shared" si="0"/>
        <v>'1035'</v>
      </c>
      <c r="D35" t="s">
        <v>68</v>
      </c>
      <c r="E35" t="s">
        <v>69</v>
      </c>
      <c r="F35" t="str">
        <f t="shared" si="1"/>
        <v>insert into sysLocalizationText Values(1035,'1035',     'MonthName-4',    'APRIL',getdate(),getdate(),1)</v>
      </c>
    </row>
    <row r="36" spans="1:6">
      <c r="A36">
        <v>1036</v>
      </c>
      <c r="B36" s="2">
        <v>1</v>
      </c>
      <c r="C36" t="str">
        <f t="shared" si="0"/>
        <v>'1036'</v>
      </c>
      <c r="D36" t="s">
        <v>70</v>
      </c>
      <c r="E36" t="s">
        <v>71</v>
      </c>
      <c r="F36" t="str">
        <f t="shared" si="1"/>
        <v>insert into sysLocalizationText Values(1036,'1036',     'MonthName-5',    'MAY',getdate(),getdate(),1)</v>
      </c>
    </row>
    <row r="37" spans="1:6">
      <c r="A37">
        <v>1037</v>
      </c>
      <c r="B37" s="2">
        <v>1</v>
      </c>
      <c r="C37" t="str">
        <f t="shared" si="0"/>
        <v>'1037'</v>
      </c>
      <c r="D37" t="s">
        <v>72</v>
      </c>
      <c r="E37" t="s">
        <v>73</v>
      </c>
      <c r="F37" t="str">
        <f t="shared" si="1"/>
        <v>insert into sysLocalizationText Values(1037,'1037',     'MonthName-6',    'JUNE',getdate(),getdate(),1)</v>
      </c>
    </row>
    <row r="38" spans="1:6">
      <c r="A38">
        <v>1038</v>
      </c>
      <c r="B38" s="2">
        <v>1</v>
      </c>
      <c r="C38" t="str">
        <f t="shared" si="0"/>
        <v>'1038'</v>
      </c>
      <c r="D38" t="s">
        <v>74</v>
      </c>
      <c r="E38" t="s">
        <v>75</v>
      </c>
      <c r="F38" t="str">
        <f t="shared" si="1"/>
        <v>insert into sysLocalizationText Values(1038,'1038',     'MonthName-7',    'JULY',getdate(),getdate(),1)</v>
      </c>
    </row>
    <row r="39" spans="1:6">
      <c r="A39">
        <v>1039</v>
      </c>
      <c r="B39" s="2">
        <v>1</v>
      </c>
      <c r="C39" t="str">
        <f t="shared" si="0"/>
        <v>'1039'</v>
      </c>
      <c r="D39" t="s">
        <v>76</v>
      </c>
      <c r="E39" t="s">
        <v>77</v>
      </c>
      <c r="F39" t="str">
        <f t="shared" si="1"/>
        <v>insert into sysLocalizationText Values(1039,'1039',     'MonthName-8',    'AUGUST',getdate(),getdate(),1)</v>
      </c>
    </row>
    <row r="40" spans="1:6">
      <c r="A40">
        <v>1040</v>
      </c>
      <c r="B40" s="2">
        <v>1</v>
      </c>
      <c r="C40" t="str">
        <f t="shared" si="0"/>
        <v>'1040'</v>
      </c>
      <c r="D40" t="s">
        <v>78</v>
      </c>
      <c r="E40" t="s">
        <v>79</v>
      </c>
      <c r="F40" t="str">
        <f t="shared" si="1"/>
        <v>insert into sysLocalizationText Values(1040,'1040',     'MonthName-9',    'SEPTEMBER',getdate(),getdate(),1)</v>
      </c>
    </row>
    <row r="41" spans="1:6">
      <c r="A41">
        <v>1041</v>
      </c>
      <c r="B41" s="2">
        <v>1</v>
      </c>
      <c r="C41" t="str">
        <f t="shared" si="0"/>
        <v>'1041'</v>
      </c>
      <c r="D41" t="s">
        <v>80</v>
      </c>
      <c r="E41" t="s">
        <v>81</v>
      </c>
      <c r="F41" t="str">
        <f t="shared" si="1"/>
        <v>insert into sysLocalizationText Values(1041,'1041',     'MonthName-10',    'OCTOBER',getdate(),getdate(),1)</v>
      </c>
    </row>
    <row r="42" spans="1:6">
      <c r="A42">
        <v>1042</v>
      </c>
      <c r="B42" s="2">
        <v>1</v>
      </c>
      <c r="C42" t="str">
        <f t="shared" si="0"/>
        <v>'1042'</v>
      </c>
      <c r="D42" t="s">
        <v>82</v>
      </c>
      <c r="E42" t="s">
        <v>83</v>
      </c>
      <c r="F42" t="str">
        <f t="shared" si="1"/>
        <v>insert into sysLocalizationText Values(1042,'1042',     'MonthName-11',    'NOVEMBER',getdate(),getdate(),1)</v>
      </c>
    </row>
    <row r="43" spans="1:6">
      <c r="A43">
        <v>1043</v>
      </c>
      <c r="B43" s="2">
        <v>1</v>
      </c>
      <c r="C43" t="str">
        <f t="shared" si="0"/>
        <v>'1043'</v>
      </c>
      <c r="D43" t="s">
        <v>84</v>
      </c>
      <c r="E43" t="s">
        <v>85</v>
      </c>
      <c r="F43" t="str">
        <f t="shared" si="1"/>
        <v>insert into sysLocalizationText Values(1043,'1043',     'MonthName-12',    'DECEMBER',getdate(),getdate(),1)</v>
      </c>
    </row>
    <row r="44" spans="1:6">
      <c r="A44">
        <v>1044</v>
      </c>
      <c r="B44" s="2">
        <v>1</v>
      </c>
      <c r="C44" t="str">
        <f t="shared" si="0"/>
        <v>'1044'</v>
      </c>
      <c r="D44" t="s">
        <v>86</v>
      </c>
      <c r="E44" t="s">
        <v>87</v>
      </c>
      <c r="F44" t="str">
        <f t="shared" si="1"/>
        <v>insert into sysLocalizationText Values(1044,'1044',     'Validation-NotNull',    'cannot be null.',getdate(),getdate(),1)</v>
      </c>
    </row>
    <row r="45" spans="1:6">
      <c r="A45">
        <v>1045</v>
      </c>
      <c r="B45" s="2">
        <v>1</v>
      </c>
      <c r="C45" t="str">
        <f t="shared" si="0"/>
        <v>'1045'</v>
      </c>
      <c r="D45" t="s">
        <v>88</v>
      </c>
      <c r="E45" t="s">
        <v>145</v>
      </c>
      <c r="F45" t="str">
        <f t="shared" si="1"/>
        <v>insert into sysLocalizationText Values(1045,'1045',     'Validation-Max-Characters',    'The {0} field cannot have more than 1 characters.',getdate(),getdate(),1)</v>
      </c>
    </row>
    <row r="46" spans="1:6">
      <c r="A46">
        <v>1046</v>
      </c>
      <c r="B46" s="2">
        <v>1</v>
      </c>
      <c r="C46" t="str">
        <f t="shared" si="0"/>
        <v>'1046'</v>
      </c>
      <c r="D46" t="s">
        <v>89</v>
      </c>
      <c r="E46" t="s">
        <v>146</v>
      </c>
      <c r="F46" t="str">
        <f t="shared" si="1"/>
        <v>insert into sysLocalizationText Values(1046,'1046',     'Validation-Invalid-Field',    'The {0} field is invalid.',getdate(),getdate(),1)</v>
      </c>
    </row>
    <row r="47" spans="1:6">
      <c r="A47">
        <v>1047</v>
      </c>
      <c r="B47" s="2">
        <v>1</v>
      </c>
      <c r="C47" t="str">
        <f t="shared" si="0"/>
        <v>'1047'</v>
      </c>
      <c r="D47" t="s">
        <v>90</v>
      </c>
      <c r="E47" t="s">
        <v>147</v>
      </c>
      <c r="F47" t="str">
        <f t="shared" si="1"/>
        <v>insert into sysLocalizationText Values(1047,'1047',     'Validation-Invalid-UserName',    'The {0} field is invalid. Do not use special characters or spaces.',getdate(),getdate(),1)</v>
      </c>
    </row>
    <row r="48" spans="1:6">
      <c r="A48">
        <v>1048</v>
      </c>
      <c r="B48" s="2">
        <v>1</v>
      </c>
      <c r="C48" t="str">
        <f t="shared" si="0"/>
        <v>'1048'</v>
      </c>
      <c r="D48" t="s">
        <v>91</v>
      </c>
      <c r="E48" t="s">
        <v>148</v>
      </c>
      <c r="F48" t="str">
        <f t="shared" si="1"/>
        <v>insert into sysLocalizationText Values(1048,'1048',     'Validation-Unique-Value',    'The {0} field is invalid. Value must be unique.',getdate(),getdate(),1)</v>
      </c>
    </row>
    <row r="49" spans="1:6">
      <c r="A49">
        <v>1049</v>
      </c>
      <c r="B49" s="2">
        <v>1</v>
      </c>
      <c r="C49" t="str">
        <f t="shared" si="0"/>
        <v>'1049'</v>
      </c>
      <c r="D49" t="s">
        <v>92</v>
      </c>
      <c r="E49" t="s">
        <v>93</v>
      </c>
      <c r="F49" t="str">
        <f t="shared" si="1"/>
        <v>insert into sysLocalizationText Values(1049,'1049',     'User-Instance-Exists',    'This Instance is already associated with the user.',getdate(),getdate(),1)</v>
      </c>
    </row>
    <row r="50" spans="1:6">
      <c r="A50">
        <v>1050</v>
      </c>
      <c r="B50" s="2">
        <v>1</v>
      </c>
      <c r="C50" t="str">
        <f t="shared" si="0"/>
        <v>'1050'</v>
      </c>
      <c r="D50" t="s">
        <v>94</v>
      </c>
      <c r="E50" t="s">
        <v>95</v>
      </c>
      <c r="F50" t="str">
        <f t="shared" si="1"/>
        <v>insert into sysLocalizationText Values(1050,'1050',     'User-Instance-No-Exists',    'This Instance does not belong to the user.',getdate(),getdate(),1)</v>
      </c>
    </row>
    <row r="51" spans="1:6">
      <c r="A51">
        <v>1051</v>
      </c>
      <c r="B51" s="2">
        <v>1</v>
      </c>
      <c r="C51" t="str">
        <f t="shared" si="0"/>
        <v>'1051'</v>
      </c>
      <c r="D51" t="str">
        <f>$N$1 &amp; "User-PageTitle" &amp; $N$1</f>
        <v>'User-PageTitle'</v>
      </c>
      <c r="E51" t="str">
        <f>$N$1 &amp; "User Management" &amp; $N$1</f>
        <v>'User Management'</v>
      </c>
      <c r="F51" t="str">
        <f t="shared" si="1"/>
        <v>insert into sysLocalizationText Values(1051,'1051','User-PageTitle','User Management',getdate(),getdate(),1)</v>
      </c>
    </row>
    <row r="52" spans="1:6">
      <c r="A52">
        <v>1052</v>
      </c>
      <c r="B52" s="2">
        <v>1</v>
      </c>
      <c r="C52" t="str">
        <f t="shared" si="0"/>
        <v>'1052'</v>
      </c>
      <c r="D52" s="1" t="str">
        <f>N1 &amp; "SearchButtonLabel" &amp; N1</f>
        <v>'SearchButtonLabel'</v>
      </c>
      <c r="E52" t="str">
        <f>N1 &amp; "Search" &amp; N1</f>
        <v>'Search'</v>
      </c>
      <c r="F52" t="str">
        <f t="shared" si="1"/>
        <v>insert into sysLocalizationText Values(1052,'1052','SearchButtonLabel','Search',getdate(),getdate(),1)</v>
      </c>
    </row>
    <row r="53" spans="1:6">
      <c r="A53">
        <v>1053</v>
      </c>
      <c r="B53" s="2">
        <v>1</v>
      </c>
      <c r="C53" t="str">
        <f t="shared" si="0"/>
        <v>'1053'</v>
      </c>
      <c r="D53" t="str">
        <f>N1 &amp; "SearchingLabel" &amp; N1</f>
        <v>'SearchingLabel'</v>
      </c>
      <c r="E53" t="str">
        <f>N1&amp;"Searching..." &amp; N1</f>
        <v>'Searching...'</v>
      </c>
      <c r="F53" t="str">
        <f t="shared" si="1"/>
        <v>insert into sysLocalizationText Values(1053,'1053','SearchingLabel','Searching...',getdate(),getdate(),1)</v>
      </c>
    </row>
    <row r="54" spans="1:6">
      <c r="A54">
        <v>1054</v>
      </c>
      <c r="B54" s="2">
        <v>1</v>
      </c>
      <c r="C54" t="str">
        <f t="shared" si="0"/>
        <v>'1054'</v>
      </c>
      <c r="D54" t="str">
        <f>N1 &amp; "InsertingLoadingLabel" &amp; N1</f>
        <v>'InsertingLoadingLabel'</v>
      </c>
      <c r="E54" t="str">
        <f>N1 &amp; "Inserting..." &amp; N1</f>
        <v>'Inserting...'</v>
      </c>
      <c r="F54" t="str">
        <f t="shared" si="1"/>
        <v>insert into sysLocalizationText Values(1054,'1054','InsertingLoadingLabel','Inserting...',getdate(),getdate(),1)</v>
      </c>
    </row>
    <row r="55" spans="1:6">
      <c r="A55">
        <v>1055</v>
      </c>
      <c r="B55" s="2">
        <v>1</v>
      </c>
      <c r="C55" t="str">
        <f t="shared" si="0"/>
        <v>'1055'</v>
      </c>
      <c r="D55" t="str">
        <f>N1 &amp; "SearchResultLabel" &amp; N1</f>
        <v>'SearchResultLabel'</v>
      </c>
      <c r="E55" t="str">
        <f>N1 &amp; "Search Result" &amp; N1</f>
        <v>'Search Result'</v>
      </c>
      <c r="F55" t="str">
        <f t="shared" si="1"/>
        <v>insert into sysLocalizationText Values(1055,'1055','SearchResultLabel','Search Result',getdate(),getdate(),1)</v>
      </c>
    </row>
    <row r="56" spans="1:6">
      <c r="A56">
        <v>1056</v>
      </c>
      <c r="B56" s="2">
        <v>1</v>
      </c>
      <c r="C56" t="str">
        <f t="shared" si="0"/>
        <v>'1056'</v>
      </c>
      <c r="D56" t="str">
        <f>N1 &amp; "DetailsLabel" &amp; N1</f>
        <v>'DetailsLabel'</v>
      </c>
      <c r="E56" t="str">
        <f>N1 &amp; "Details" &amp; N1</f>
        <v>'Details'</v>
      </c>
      <c r="F56" t="str">
        <f t="shared" si="1"/>
        <v>insert into sysLocalizationText Values(1056,'1056','DetailsLabel','Details',getdate(),getdate(),1)</v>
      </c>
    </row>
    <row r="57" spans="1:6">
      <c r="A57">
        <v>1057</v>
      </c>
      <c r="B57" s="2">
        <v>1</v>
      </c>
      <c r="C57" t="str">
        <f t="shared" si="0"/>
        <v>'1057'</v>
      </c>
      <c r="D57" t="str">
        <f>N1&amp;"NoRecordsFound"&amp;N1</f>
        <v>'NoRecordsFound'</v>
      </c>
      <c r="E57" t="str">
        <f>N1 &amp; "No records was found" &amp; N1</f>
        <v>'No records was found'</v>
      </c>
      <c r="F57" t="str">
        <f t="shared" si="1"/>
        <v>insert into sysLocalizationText Values(1057,'1057','NoRecordsFound','No records was found',getdate(),getdate(),1)</v>
      </c>
    </row>
    <row r="58" spans="1:6">
      <c r="A58">
        <v>1058</v>
      </c>
      <c r="B58" s="2">
        <v>1</v>
      </c>
      <c r="C58" t="str">
        <f t="shared" si="0"/>
        <v>'1058'</v>
      </c>
      <c r="D58" t="str">
        <f>N1 &amp; "LoadingPage" &amp; N1</f>
        <v>'LoadingPage'</v>
      </c>
      <c r="E58" t="str">
        <f>N1 &amp; "Loading. Wait..." &amp; N1</f>
        <v>'Loading. Wait...'</v>
      </c>
      <c r="F58" t="str">
        <f t="shared" si="1"/>
        <v>insert into sysLocalizationText Values(1058,'1058','LoadingPage','Loading. Wait...',getdate(),getdate(),1)</v>
      </c>
    </row>
    <row r="59" spans="1:6">
      <c r="A59">
        <v>1059</v>
      </c>
      <c r="B59" s="2">
        <v>1</v>
      </c>
      <c r="C59" t="str">
        <f t="shared" si="0"/>
        <v>'1059'</v>
      </c>
      <c r="D59" t="str">
        <f>N1 &amp; "LoadingData" &amp; N1</f>
        <v>'LoadingData'</v>
      </c>
      <c r="E59" t="str">
        <f>N1 &amp; "Loading Page. Wait..." &amp; N1</f>
        <v>'Loading Page. Wait...'</v>
      </c>
      <c r="F59" t="str">
        <f t="shared" si="1"/>
        <v>insert into sysLocalizationText Values(1059,'1059','LoadingData','Loading Page. Wait...',getdate(),getdate(),1)</v>
      </c>
    </row>
    <row r="60" spans="1:6">
      <c r="A60">
        <v>1060</v>
      </c>
      <c r="B60" s="2">
        <v>1</v>
      </c>
      <c r="C60" t="str">
        <f t="shared" si="0"/>
        <v>'1060'</v>
      </c>
      <c r="D60" t="str">
        <f>N1 &amp; "ErrorOnExecuteSearch" &amp; N1</f>
        <v>'ErrorOnExecuteSearch'</v>
      </c>
      <c r="E60" t="str">
        <f>N1 &amp; "Error on execute search" &amp; N1</f>
        <v>'Error on execute search'</v>
      </c>
      <c r="F60" t="str">
        <f t="shared" si="1"/>
        <v>insert into sysLocalizationText Values(1060,'1060','ErrorOnExecuteSearch','Error on execute search',getdate(),getdate(),1)</v>
      </c>
    </row>
    <row r="61" spans="1:6">
      <c r="A61">
        <v>1061</v>
      </c>
      <c r="B61" s="2">
        <v>1</v>
      </c>
      <c r="C61" t="str">
        <f t="shared" si="0"/>
        <v>'1061'</v>
      </c>
      <c r="D61" t="str">
        <f>N1 &amp; "ErrorOnReturnData" &amp; N1</f>
        <v>'ErrorOnReturnData'</v>
      </c>
      <c r="E61" t="str">
        <f>N1 &amp; "Error on return data" &amp; N1</f>
        <v>'Error on return data'</v>
      </c>
      <c r="F61" t="str">
        <f t="shared" si="1"/>
        <v>insert into sysLocalizationText Values(1061,'1061','ErrorOnReturnData','Error on return data',getdate(),getdate(),1)</v>
      </c>
    </row>
    <row r="62" spans="1:6">
      <c r="A62">
        <v>1062</v>
      </c>
      <c r="B62" s="2">
        <v>1</v>
      </c>
      <c r="C62" t="str">
        <f t="shared" si="0"/>
        <v>'1062'</v>
      </c>
      <c r="D62" t="str">
        <f>N1 &amp; "ErrorOnCreateNewRecord" &amp; N1</f>
        <v>'ErrorOnCreateNewRecord'</v>
      </c>
      <c r="E62" t="str">
        <f>N1 &amp; "Error on create record" &amp; N1</f>
        <v>'Error on create record'</v>
      </c>
      <c r="F62" t="str">
        <f t="shared" si="1"/>
        <v>insert into sysLocalizationText Values(1062,'1062','ErrorOnCreateNewRecord','Error on create record',getdate(),getdate(),1)</v>
      </c>
    </row>
    <row r="63" spans="1:6">
      <c r="A63">
        <v>1063</v>
      </c>
      <c r="B63" s="2">
        <v>1</v>
      </c>
      <c r="C63" t="str">
        <f t="shared" si="0"/>
        <v>'1063'</v>
      </c>
      <c r="D63" t="str">
        <f>N1 &amp; "AfterSaveAnswering" &amp; N1</f>
        <v>'AfterSaveAnswering'</v>
      </c>
      <c r="E63" t="str">
        <f>N1 &amp; "The new record was created successfuly. Do you want inserting ?" &amp; N1</f>
        <v>'The new record was created successfuly. Do you want inserting ?'</v>
      </c>
      <c r="F63" t="str">
        <f t="shared" si="1"/>
        <v>insert into sysLocalizationText Values(1063,'1063','AfterSaveAnswering','The new record was created successfuly. Do you want inserting ?',getdate(),getdate(),1)</v>
      </c>
    </row>
    <row r="64" spans="1:6">
      <c r="A64">
        <v>1064</v>
      </c>
      <c r="B64" s="2">
        <v>1</v>
      </c>
      <c r="C64" t="str">
        <f t="shared" si="0"/>
        <v>'1064'</v>
      </c>
      <c r="D64" t="str">
        <f>N1 &amp; "NoticeLabel" &amp; N1</f>
        <v>'NoticeLabel'</v>
      </c>
      <c r="E64" t="str">
        <f>N1 &amp; "Notice" &amp; N1</f>
        <v>'Notice'</v>
      </c>
      <c r="F64" t="str">
        <f t="shared" si="1"/>
        <v>insert into sysLocalizationText Values(1064,'1064','NoticeLabel','Notice',getdate(),getdate(),1)</v>
      </c>
    </row>
    <row r="65" spans="1:6">
      <c r="A65">
        <v>1065</v>
      </c>
      <c r="B65" s="2">
        <v>1</v>
      </c>
      <c r="C65" t="str">
        <f t="shared" si="0"/>
        <v>'1065'</v>
      </c>
      <c r="D65" t="str">
        <f>$N$1 &amp; "SuccessLabel" &amp; $N$1</f>
        <v>'SuccessLabel'</v>
      </c>
      <c r="E65" t="str">
        <f>$N$1 &amp; "Success" &amp; $N$1</f>
        <v>'Success'</v>
      </c>
      <c r="F65" t="str">
        <f t="shared" si="1"/>
        <v>insert into sysLocalizationText Values(1065,'1065','SuccessLabel','Success',getdate(),getdate(),1)</v>
      </c>
    </row>
    <row r="66" spans="1:6">
      <c r="A66">
        <v>1066</v>
      </c>
      <c r="B66" s="2">
        <v>1</v>
      </c>
      <c r="C66" t="str">
        <f t="shared" ref="C66:C169" si="2">"'" &amp; A66 &amp; "'"</f>
        <v>'1066'</v>
      </c>
      <c r="D66" t="str">
        <f>$N$1 &amp; "SuccessSaveMessage" &amp; $N$1</f>
        <v>'SuccessSaveMessage'</v>
      </c>
      <c r="E66" t="str">
        <f>$N$1 &amp; "The record was saved successfuly." &amp; $N$1</f>
        <v>'The record was saved successfuly.'</v>
      </c>
      <c r="F66" t="str">
        <f t="shared" ref="F66:F129" si="3">"insert into sysLocalizationText Values(" &amp;A66 &amp; "," &amp;C66 &amp; "," &amp; D66 &amp; "," &amp; E66 &amp; ",getdate(),getdate()," &amp; B66 &amp; ")"</f>
        <v>insert into sysLocalizationText Values(1066,'1066','SuccessSaveMessage','The record was saved successfuly.',getdate(),getdate(),1)</v>
      </c>
    </row>
    <row r="67" spans="1:6">
      <c r="A67">
        <v>1067</v>
      </c>
      <c r="B67" s="2">
        <v>1</v>
      </c>
      <c r="C67" t="str">
        <f t="shared" si="2"/>
        <v>'1067'</v>
      </c>
      <c r="D67" t="str">
        <f>$N$1 &amp; "Email-Label" &amp; $N$1</f>
        <v>'Email-Label'</v>
      </c>
      <c r="E67" t="str">
        <f>$N$1 &amp; "E-mail" &amp; $N$1</f>
        <v>'E-mail'</v>
      </c>
      <c r="F67" t="str">
        <f t="shared" si="3"/>
        <v>insert into sysLocalizationText Values(1067,'1067','Email-Label','E-mail',getdate(),getdate(),1)</v>
      </c>
    </row>
    <row r="68" spans="1:6">
      <c r="A68">
        <v>1068</v>
      </c>
      <c r="B68" s="2">
        <v>1</v>
      </c>
      <c r="C68" t="str">
        <f t="shared" si="2"/>
        <v>'1068'</v>
      </c>
      <c r="D68" t="str">
        <f>$N$1 &amp; "UserName-Label" &amp; $N$1</f>
        <v>'UserName-Label'</v>
      </c>
      <c r="E68" t="str">
        <f>$N$1 &amp; "User Name" &amp; $N$1</f>
        <v>'User Name'</v>
      </c>
      <c r="F68" t="str">
        <f t="shared" si="3"/>
        <v>insert into sysLocalizationText Values(1068,'1068','UserName-Label','User Name',getdate(),getdate(),1)</v>
      </c>
    </row>
    <row r="69" spans="1:6">
      <c r="A69">
        <v>1069</v>
      </c>
      <c r="B69" s="2">
        <v>1</v>
      </c>
      <c r="C69" t="str">
        <f t="shared" si="2"/>
        <v>'1069'</v>
      </c>
      <c r="D69" t="str">
        <f>$N$1 &amp; "Password-Label" &amp; $N$1</f>
        <v>'Password-Label'</v>
      </c>
      <c r="E69" t="str">
        <f>$N$1 &amp; "Password" &amp; $N$1</f>
        <v>'Password'</v>
      </c>
      <c r="F69" t="str">
        <f t="shared" si="3"/>
        <v>insert into sysLocalizationText Values(1069,'1069','Password-Label','Password',getdate(),getdate(),1)</v>
      </c>
    </row>
    <row r="70" spans="1:6">
      <c r="A70">
        <v>1070</v>
      </c>
      <c r="B70" s="2">
        <v>1</v>
      </c>
      <c r="C70" t="str">
        <f t="shared" si="2"/>
        <v>'1070'</v>
      </c>
      <c r="D70" t="str">
        <f>$N$1 &amp; "Instance-Label" &amp; $N$1</f>
        <v>'Instance-Label'</v>
      </c>
      <c r="E70" t="str">
        <f>$N$1 &amp; "Instance" &amp; $N$1</f>
        <v>'Instance'</v>
      </c>
      <c r="F70" t="str">
        <f t="shared" si="3"/>
        <v>insert into sysLocalizationText Values(1070,'1070','Instance-Label','Instance',getdate(),getdate(),1)</v>
      </c>
    </row>
    <row r="71" spans="1:6">
      <c r="A71">
        <v>1071</v>
      </c>
      <c r="B71" s="2">
        <v>1</v>
      </c>
      <c r="C71" t="str">
        <f t="shared" si="2"/>
        <v>'1071'</v>
      </c>
      <c r="D71" t="str">
        <f>$N$1 &amp; "Role-Label" &amp; $N$1</f>
        <v>'Role-Label'</v>
      </c>
      <c r="E71" t="str">
        <f>$N$1 &amp; "Role" &amp; $N$1</f>
        <v>'Role'</v>
      </c>
      <c r="F71" t="str">
        <f t="shared" si="3"/>
        <v>insert into sysLocalizationText Values(1071,'1071','Role-Label','Role',getdate(),getdate(),1)</v>
      </c>
    </row>
    <row r="72" spans="1:6">
      <c r="A72">
        <v>1072</v>
      </c>
      <c r="B72" s="2">
        <v>1</v>
      </c>
      <c r="C72" t="str">
        <f t="shared" si="2"/>
        <v>'1072'</v>
      </c>
      <c r="D72" t="str">
        <f>$N$1 &amp; "Yes-Text" &amp; $N$1</f>
        <v>'Yes-Text'</v>
      </c>
      <c r="E72" t="str">
        <f>$N$1 &amp; "Yes" &amp; $N$1</f>
        <v>'Yes'</v>
      </c>
      <c r="F72" t="str">
        <f t="shared" si="3"/>
        <v>insert into sysLocalizationText Values(1072,'1072','Yes-Text','Yes',getdate(),getdate(),1)</v>
      </c>
    </row>
    <row r="73" spans="1:6">
      <c r="A73">
        <v>1073</v>
      </c>
      <c r="B73" s="2">
        <v>1</v>
      </c>
      <c r="C73" t="str">
        <f t="shared" si="2"/>
        <v>'1073'</v>
      </c>
      <c r="D73" t="str">
        <f>$N$1 &amp; "No-Text" &amp; $N$1</f>
        <v>'No-Text'</v>
      </c>
      <c r="E73" t="str">
        <f>$N$1 &amp; "No" &amp; $N$1</f>
        <v>'No'</v>
      </c>
      <c r="F73" t="str">
        <f t="shared" si="3"/>
        <v>insert into sysLocalizationText Values(1073,'1073','No-Text','No',getdate(),getdate(),1)</v>
      </c>
    </row>
    <row r="74" spans="1:6">
      <c r="A74">
        <v>1074</v>
      </c>
      <c r="B74" s="2">
        <v>1</v>
      </c>
      <c r="C74" t="str">
        <f t="shared" si="2"/>
        <v>'1074'</v>
      </c>
      <c r="D74" t="str">
        <f>$N$1 &amp; "Saving-Label" &amp; $N$1</f>
        <v>'Saving-Label'</v>
      </c>
      <c r="E74" t="str">
        <f>$N$1 &amp; "Saving..." &amp; $N$1</f>
        <v>'Saving...'</v>
      </c>
      <c r="F74" t="str">
        <f t="shared" si="3"/>
        <v>insert into sysLocalizationText Values(1074,'1074','Saving-Label','Saving...',getdate(),getdate(),1)</v>
      </c>
    </row>
    <row r="75" spans="1:6">
      <c r="A75">
        <v>1075</v>
      </c>
      <c r="B75" s="2">
        <v>1</v>
      </c>
      <c r="C75" t="str">
        <f t="shared" si="2"/>
        <v>'1075'</v>
      </c>
      <c r="D75" t="str">
        <f t="shared" ref="D75" si="4">$N$1 &amp; "Edit-Label" &amp; $N$1</f>
        <v>'Edit-Label'</v>
      </c>
      <c r="E75" t="str">
        <f>$N$1 &amp; "Edit" &amp; $N$1</f>
        <v>'Edit'</v>
      </c>
      <c r="F75" t="str">
        <f t="shared" si="3"/>
        <v>insert into sysLocalizationText Values(1075,'1075','Edit-Label','Edit',getdate(),getdate(),1)</v>
      </c>
    </row>
    <row r="76" spans="1:6">
      <c r="A76">
        <v>1076</v>
      </c>
      <c r="B76" s="2">
        <v>1</v>
      </c>
      <c r="C76" t="str">
        <f t="shared" si="2"/>
        <v>'1076'</v>
      </c>
      <c r="D76" t="str">
        <f>$N$1 &amp; "Date-Label" &amp; $N$1</f>
        <v>'Date-Label'</v>
      </c>
      <c r="E76" t="str">
        <f>$N$1 &amp; "Date" &amp; $N$1</f>
        <v>'Date'</v>
      </c>
      <c r="F76" t="str">
        <f t="shared" si="3"/>
        <v>insert into sysLocalizationText Values(1076,'1076','Date-Label','Date',getdate(),getdate(),1)</v>
      </c>
    </row>
    <row r="77" spans="1:6">
      <c r="A77">
        <v>1077</v>
      </c>
      <c r="B77" s="2">
        <v>1</v>
      </c>
      <c r="C77" t="str">
        <f t="shared" si="2"/>
        <v>'1077'</v>
      </c>
      <c r="D77" t="str">
        <f>$N$1 &amp; "Field-Label" &amp; $N$1</f>
        <v>'Field-Label'</v>
      </c>
      <c r="E77" t="str">
        <f>$N$1 &amp; "Field" &amp; $N$1</f>
        <v>'Field'</v>
      </c>
      <c r="F77" t="str">
        <f t="shared" si="3"/>
        <v>insert into sysLocalizationText Values(1077,'1077','Field-Label','Field',getdate(),getdate(),1)</v>
      </c>
    </row>
    <row r="78" spans="1:6">
      <c r="A78">
        <v>1078</v>
      </c>
      <c r="B78" s="2">
        <v>1</v>
      </c>
      <c r="C78" t="str">
        <f t="shared" si="2"/>
        <v>'1078'</v>
      </c>
      <c r="D78" t="str">
        <f>$N$1 &amp; "Value-Label" &amp; $N$1</f>
        <v>'Value-Label'</v>
      </c>
      <c r="E78" t="str">
        <f>$N$1 &amp; "Value" &amp; $N$1</f>
        <v>'Value'</v>
      </c>
      <c r="F78" t="str">
        <f t="shared" si="3"/>
        <v>insert into sysLocalizationText Values(1078,'1078','Value-Label','Value',getdate(),getdate(),1)</v>
      </c>
    </row>
    <row r="79" spans="1:6">
      <c r="A79">
        <v>1079</v>
      </c>
      <c r="B79" s="2">
        <v>1</v>
      </c>
      <c r="C79" t="str">
        <f t="shared" si="2"/>
        <v>'1079'</v>
      </c>
      <c r="D79" t="str">
        <f>$N$1 &amp; "SelectItem-Description" &amp; $N$1</f>
        <v>'SelectItem-Description'</v>
      </c>
      <c r="E79" t="str">
        <f>$N$1 &amp; "Select a item" &amp; $N$1</f>
        <v>'Select a item'</v>
      </c>
      <c r="F79" t="str">
        <f t="shared" si="3"/>
        <v>insert into sysLocalizationText Values(1079,'1079','SelectItem-Description','Select a item',getdate(),getdate(),1)</v>
      </c>
    </row>
    <row r="80" spans="1:6">
      <c r="A80">
        <v>1080</v>
      </c>
      <c r="B80" s="2">
        <v>1</v>
      </c>
      <c r="C80" t="str">
        <f t="shared" si="2"/>
        <v>'1080'</v>
      </c>
      <c r="D80" t="str">
        <f>$N$1 &amp; "AllItem-Description" &amp; $N$1</f>
        <v>'AllItem-Description'</v>
      </c>
      <c r="E80" t="str">
        <f>$N$1 &amp; "All" &amp; $N$1</f>
        <v>'All'</v>
      </c>
      <c r="F80" t="str">
        <f t="shared" si="3"/>
        <v>insert into sysLocalizationText Values(1080,'1080','AllItem-Description','All',getdate(),getdate(),1)</v>
      </c>
    </row>
    <row r="81" spans="1:6">
      <c r="A81">
        <v>1081</v>
      </c>
      <c r="B81" s="2">
        <v>1</v>
      </c>
      <c r="C81" t="str">
        <f t="shared" ref="C81:C97" si="5">"'" &amp; A81 &amp; "'"</f>
        <v>'1081'</v>
      </c>
      <c r="D81" t="str">
        <f>$N$1 &amp; "Welcome-Label" &amp; $N$1</f>
        <v>'Welcome-Label'</v>
      </c>
      <c r="E81" t="str">
        <f>$N$1 &amp; "Welcome to GW Template" &amp; $N$1</f>
        <v>'Welcome to GW Template'</v>
      </c>
      <c r="F81" t="str">
        <f t="shared" si="3"/>
        <v>insert into sysLocalizationText Values(1081,'1081','Welcome-Label','Welcome to GW Template',getdate(),getdate(),1)</v>
      </c>
    </row>
    <row r="82" spans="1:6">
      <c r="A82">
        <v>1082</v>
      </c>
      <c r="B82" s="2">
        <v>1</v>
      </c>
      <c r="C82" t="str">
        <f t="shared" si="5"/>
        <v>'1082'</v>
      </c>
      <c r="D82" t="str">
        <f>$N$1 &amp; "LoginTitle-Label" &amp; $N$1</f>
        <v>'LoginTitle-Label'</v>
      </c>
      <c r="E82" t="str">
        <f>$N$1 &amp; "Sign In" &amp; $N$1</f>
        <v>'Sign In'</v>
      </c>
      <c r="F82" t="str">
        <f t="shared" si="3"/>
        <v>insert into sysLocalizationText Values(1082,'1082','LoginTitle-Label','Sign In',getdate(),getdate(),1)</v>
      </c>
    </row>
    <row r="83" spans="1:6">
      <c r="A83">
        <v>1083</v>
      </c>
      <c r="B83" s="2">
        <v>1</v>
      </c>
      <c r="C83" t="str">
        <f t="shared" si="5"/>
        <v>'1083'</v>
      </c>
      <c r="D83" t="str">
        <f>$N$1 &amp; "LoginTitle-Description" &amp; $N$1</f>
        <v>'LoginTitle-Description'</v>
      </c>
      <c r="E83" t="str">
        <f>$N$1 &amp; "Enter your access credentials" &amp; $N$1</f>
        <v>'Enter your access credentials'</v>
      </c>
      <c r="F83" t="str">
        <f t="shared" si="3"/>
        <v>insert into sysLocalizationText Values(1083,'1083','LoginTitle-Description','Enter your access credentials',getdate(),getdate(),1)</v>
      </c>
    </row>
    <row r="84" spans="1:6">
      <c r="A84">
        <v>1084</v>
      </c>
      <c r="B84" s="2">
        <v>1</v>
      </c>
      <c r="C84" t="str">
        <f t="shared" si="5"/>
        <v>'1084'</v>
      </c>
      <c r="D84" t="str">
        <f>$N$1 &amp; "InputEmail-Description" &amp; $N$1</f>
        <v>'InputEmail-Description'</v>
      </c>
      <c r="E84" t="str">
        <f>$N$1 &amp; "Input your account e-mail" &amp; $N$1</f>
        <v>'Input your account e-mail'</v>
      </c>
      <c r="F84" t="str">
        <f t="shared" si="3"/>
        <v>insert into sysLocalizationText Values(1084,'1084','InputEmail-Description','Input your account e-mail',getdate(),getdate(),1)</v>
      </c>
    </row>
    <row r="85" spans="1:6">
      <c r="A85">
        <v>1085</v>
      </c>
      <c r="B85" s="2">
        <v>1</v>
      </c>
      <c r="C85" t="str">
        <f t="shared" si="5"/>
        <v>'1085'</v>
      </c>
      <c r="D85" t="str">
        <f>$N$1 &amp; "InputPassword-Description" &amp; $N$1</f>
        <v>'InputPassword-Description'</v>
      </c>
      <c r="E85" t="str">
        <f>$N$1 &amp; "Input your password" &amp; $N$1</f>
        <v>'Input your password'</v>
      </c>
      <c r="F85" t="str">
        <f t="shared" si="3"/>
        <v>insert into sysLocalizationText Values(1085,'1085','InputPassword-Description','Input your password',getdate(),getdate(),1)</v>
      </c>
    </row>
    <row r="86" spans="1:6">
      <c r="A86">
        <v>1086</v>
      </c>
      <c r="B86" s="2">
        <v>1</v>
      </c>
      <c r="C86" t="str">
        <f t="shared" si="5"/>
        <v>'1086'</v>
      </c>
      <c r="D86" t="str">
        <f>$N$1 &amp; "ForgetPassword-Description" &amp; $N$1</f>
        <v>'ForgetPassword-Description'</v>
      </c>
      <c r="E86" t="str">
        <f>$N$1 &amp; "Forgot your password ?" &amp; $N$1</f>
        <v>'Forgot your password ?'</v>
      </c>
      <c r="F86" t="str">
        <f t="shared" si="3"/>
        <v>insert into sysLocalizationText Values(1086,'1086','ForgetPassword-Description','Forgot your password ?',getdate(),getdate(),1)</v>
      </c>
    </row>
    <row r="87" spans="1:6">
      <c r="A87">
        <v>1087</v>
      </c>
      <c r="B87" s="2">
        <v>1</v>
      </c>
      <c r="C87" t="str">
        <f t="shared" si="5"/>
        <v>'1087'</v>
      </c>
      <c r="D87" t="str">
        <f>$N$1 &amp; "LoginButton-Label" &amp; $N$1</f>
        <v>'LoginButton-Label'</v>
      </c>
      <c r="E87" t="str">
        <f>$N$1 &amp; "Confirm" &amp; $N$1</f>
        <v>'Confirm'</v>
      </c>
      <c r="F87" t="str">
        <f t="shared" si="3"/>
        <v>insert into sysLocalizationText Values(1087,'1087','LoginButton-Label','Confirm',getdate(),getdate(),1)</v>
      </c>
    </row>
    <row r="88" spans="1:6">
      <c r="A88">
        <v>1088</v>
      </c>
      <c r="B88" s="2">
        <v>1</v>
      </c>
      <c r="C88" t="str">
        <f t="shared" si="5"/>
        <v>'1088'</v>
      </c>
      <c r="D88" t="str">
        <f>$N$1 &amp; "LoginLoading-Label" &amp; $N$1</f>
        <v>'LoginLoading-Label'</v>
      </c>
      <c r="E88" t="str">
        <f>$N$1 &amp; "Entering..." &amp; $N$1</f>
        <v>'Entering...'</v>
      </c>
      <c r="F88" t="str">
        <f t="shared" si="3"/>
        <v>insert into sysLocalizationText Values(1088,'1088','LoginLoading-Label','Entering...',getdate(),getdate(),1)</v>
      </c>
    </row>
    <row r="89" spans="1:6">
      <c r="A89">
        <v>1089</v>
      </c>
      <c r="B89" s="2">
        <v>1</v>
      </c>
      <c r="C89" t="str">
        <f t="shared" si="5"/>
        <v>'1089'</v>
      </c>
      <c r="D89" t="str">
        <f>$N$1 &amp; "SendText-Description" &amp; $N$1</f>
        <v>'SendText-Description'</v>
      </c>
      <c r="E89" t="str">
        <f>$N$1 &amp; "Sending..." &amp; $N$1</f>
        <v>'Sending...'</v>
      </c>
      <c r="F89" t="str">
        <f t="shared" si="3"/>
        <v>insert into sysLocalizationText Values(1089,'1089','SendText-Description','Sending...',getdate(),getdate(),1)</v>
      </c>
    </row>
    <row r="90" spans="1:6">
      <c r="A90">
        <v>1090</v>
      </c>
      <c r="B90" s="2">
        <v>1</v>
      </c>
      <c r="C90" t="str">
        <f t="shared" si="5"/>
        <v>'1090'</v>
      </c>
      <c r="D90" t="str">
        <f>$N$1 &amp; "ActiveAccountButton-Label" &amp; $N$1</f>
        <v>'ActiveAccountButton-Label'</v>
      </c>
      <c r="E90" t="str">
        <f>$N$1 &amp; "Activate Account" &amp; $N$1</f>
        <v>'Activate Account'</v>
      </c>
      <c r="F90" t="str">
        <f t="shared" si="3"/>
        <v>insert into sysLocalizationText Values(1090,'1090','ActiveAccountButton-Label','Activate Account',getdate(),getdate(),1)</v>
      </c>
    </row>
    <row r="91" spans="1:6">
      <c r="A91">
        <v>1091</v>
      </c>
      <c r="B91" s="2">
        <v>1</v>
      </c>
      <c r="C91" t="str">
        <f t="shared" si="5"/>
        <v>'1091'</v>
      </c>
      <c r="D91" t="str">
        <f>$N$1 &amp; "ActiveAccount-Label" &amp; $N$1</f>
        <v>'ActiveAccount-Label'</v>
      </c>
      <c r="E91" t="str">
        <f>$N$1 &amp; "Account Activation" &amp; $N$1</f>
        <v>'Account Activation'</v>
      </c>
      <c r="F91" t="str">
        <f t="shared" si="3"/>
        <v>insert into sysLocalizationText Values(1091,'1091','ActiveAccount-Label','Account Activation',getdate(),getdate(),1)</v>
      </c>
    </row>
    <row r="92" spans="1:6">
      <c r="A92">
        <v>1092</v>
      </c>
      <c r="B92" s="2">
        <v>1</v>
      </c>
      <c r="C92" t="str">
        <f t="shared" si="5"/>
        <v>'1092'</v>
      </c>
      <c r="D92" t="str">
        <f>$N$1 &amp; "ActiveAccount-Description" &amp; $N$1</f>
        <v>'ActiveAccount-Description'</v>
      </c>
      <c r="E92" t="str">
        <f>$N$1 &amp; "Cannot access ?" &amp; $N$1</f>
        <v>'Cannot access ?'</v>
      </c>
      <c r="F92" t="str">
        <f t="shared" si="3"/>
        <v>insert into sysLocalizationText Values(1092,'1092','ActiveAccount-Description','Cannot access ?',getdate(),getdate(),1)</v>
      </c>
    </row>
    <row r="93" spans="1:6">
      <c r="A93">
        <v>1093</v>
      </c>
      <c r="B93" s="2">
        <v>1</v>
      </c>
      <c r="C93" t="str">
        <f t="shared" si="5"/>
        <v>'1093'</v>
      </c>
      <c r="D93" t="str">
        <f>$N$1 &amp; "ActiveAccount-Step1" &amp; $N$1</f>
        <v>'ActiveAccount-Step1'</v>
      </c>
      <c r="E93" t="str">
        <f>$N$1 &amp; "Send the activation code to your registration email" &amp; $N$1</f>
        <v>'Send the activation code to your registration email'</v>
      </c>
      <c r="F93" t="str">
        <f t="shared" si="3"/>
        <v>insert into sysLocalizationText Values(1093,'1093','ActiveAccount-Step1','Send the activation code to your registration email',getdate(),getdate(),1)</v>
      </c>
    </row>
    <row r="94" spans="1:6">
      <c r="A94">
        <v>1094</v>
      </c>
      <c r="B94" s="2">
        <v>1</v>
      </c>
      <c r="C94" t="str">
        <f t="shared" si="5"/>
        <v>'1094'</v>
      </c>
      <c r="D94" t="str">
        <f>$N$1 &amp; "ActiveAccount-Step2" &amp; $N$1</f>
        <v>'ActiveAccount-Step2'</v>
      </c>
      <c r="E94" t="str">
        <f>$N$1 &amp; "Enter the activation code received" &amp; $N$1</f>
        <v>'Enter the activation code received'</v>
      </c>
      <c r="F94" t="str">
        <f t="shared" si="3"/>
        <v>insert into sysLocalizationText Values(1094,'1094','ActiveAccount-Step2','Enter the activation code received',getdate(),getdate(),1)</v>
      </c>
    </row>
    <row r="95" spans="1:6">
      <c r="A95">
        <v>1095</v>
      </c>
      <c r="B95" s="2">
        <v>1</v>
      </c>
      <c r="C95" t="str">
        <f t="shared" si="5"/>
        <v>'1095'</v>
      </c>
      <c r="D95" t="str">
        <f>$N$1 &amp; "SendCodeButton-Label" &amp; $N$1</f>
        <v>'SendCodeButton-Label'</v>
      </c>
      <c r="E95" t="str">
        <f>$N$1 &amp; "Send code" &amp; $N$1</f>
        <v>'Send code'</v>
      </c>
      <c r="F95" t="str">
        <f t="shared" si="3"/>
        <v>insert into sysLocalizationText Values(1095,'1095','SendCodeButton-Label','Send code',getdate(),getdate(),1)</v>
      </c>
    </row>
    <row r="96" spans="1:6">
      <c r="A96">
        <v>1096</v>
      </c>
      <c r="B96" s="2">
        <v>1</v>
      </c>
      <c r="C96" t="str">
        <f t="shared" si="5"/>
        <v>'1096'</v>
      </c>
      <c r="D96" t="str">
        <f>$N$1 &amp; "ActiveLoading-Label" &amp; $N$1</f>
        <v>'ActiveLoading-Label'</v>
      </c>
      <c r="E96" t="str">
        <f>$N$1 &amp; "Request Activation" &amp; $N$1</f>
        <v>'Request Activation'</v>
      </c>
      <c r="F96" t="str">
        <f t="shared" si="3"/>
        <v>insert into sysLocalizationText Values(1096,'1096','ActiveLoading-Label','Request Activation',getdate(),getdate(),1)</v>
      </c>
    </row>
    <row r="97" spans="1:6">
      <c r="A97">
        <v>1097</v>
      </c>
      <c r="B97" s="2">
        <v>1</v>
      </c>
      <c r="C97" t="str">
        <f t="shared" si="5"/>
        <v>'1097'</v>
      </c>
      <c r="D97" t="str">
        <f>$N$1 &amp; "InputCode-Description" &amp; $N$1</f>
        <v>'InputCode-Description'</v>
      </c>
      <c r="E97" t="str">
        <f>$N$1 &amp; "Input code received on e-mail" &amp; $N$1</f>
        <v>'Input code received on e-mail'</v>
      </c>
      <c r="F97" t="str">
        <f t="shared" si="3"/>
        <v>insert into sysLocalizationText Values(1097,'1097','InputCode-Description','Input code received on e-mail',getdate(),getdate(),1)</v>
      </c>
    </row>
    <row r="98" spans="1:6">
      <c r="A98">
        <v>1098</v>
      </c>
      <c r="B98" s="2">
        <v>1</v>
      </c>
      <c r="C98" t="str">
        <f t="shared" ref="C98:C108" si="6">"'" &amp; A98 &amp; "'"</f>
        <v>'1098'</v>
      </c>
      <c r="D98" t="str">
        <f>$N$1 &amp; "Unlogged-Label" &amp; $N$1</f>
        <v>'Unlogged-Label'</v>
      </c>
      <c r="E98" t="str">
        <f>$N$1 &amp; "Not Logged" &amp; $N$1</f>
        <v>'Not Logged'</v>
      </c>
      <c r="F98" t="str">
        <f t="shared" si="3"/>
        <v>insert into sysLocalizationText Values(1098,'1098','Unlogged-Label','Not Logged',getdate(),getdate(),1)</v>
      </c>
    </row>
    <row r="99" spans="1:6">
      <c r="A99">
        <v>1099</v>
      </c>
      <c r="B99" s="2">
        <v>1</v>
      </c>
      <c r="C99" t="str">
        <f t="shared" si="6"/>
        <v>'1099'</v>
      </c>
      <c r="D99" t="str">
        <f>$N$1 &amp; "MyProfile-Label" &amp; $N$1</f>
        <v>'MyProfile-Label'</v>
      </c>
      <c r="E99" t="str">
        <f>$N$1 &amp; "My Profile" &amp; $N$1</f>
        <v>'My Profile'</v>
      </c>
      <c r="F99" t="str">
        <f t="shared" si="3"/>
        <v>insert into sysLocalizationText Values(1099,'1099','MyProfile-Label','My Profile',getdate(),getdate(),1)</v>
      </c>
    </row>
    <row r="100" spans="1:6">
      <c r="A100">
        <v>1100</v>
      </c>
      <c r="B100" s="2">
        <v>1</v>
      </c>
      <c r="C100" t="str">
        <f t="shared" si="6"/>
        <v>'1100'</v>
      </c>
      <c r="D100" t="str">
        <f>$N$1 &amp; "MainProfileData-Label" &amp; $N$1</f>
        <v>'MainProfileData-Label'</v>
      </c>
      <c r="E100" t="str">
        <f>$N$1 &amp; "Main Info" &amp; $N$1</f>
        <v>'Main Info'</v>
      </c>
      <c r="F100" t="str">
        <f t="shared" si="3"/>
        <v>insert into sysLocalizationText Values(1100,'1100','MainProfileData-Label','Main Info',getdate(),getdate(),1)</v>
      </c>
    </row>
    <row r="101" spans="1:6">
      <c r="A101">
        <v>1101</v>
      </c>
      <c r="B101" s="2">
        <v>1</v>
      </c>
      <c r="C101" t="str">
        <f t="shared" si="6"/>
        <v>'1101'</v>
      </c>
      <c r="D101" t="str">
        <f>$N$1 &amp; "AlterPassword-Label" &amp; $N$1</f>
        <v>'AlterPassword-Label'</v>
      </c>
      <c r="E101" t="str">
        <f>$N$1 &amp; "Change Password" &amp; $N$1</f>
        <v>'Change Password'</v>
      </c>
      <c r="F101" t="str">
        <f t="shared" si="3"/>
        <v>insert into sysLocalizationText Values(1101,'1101','AlterPassword-Label','Change Password',getdate(),getdate(),1)</v>
      </c>
    </row>
    <row r="102" spans="1:6">
      <c r="A102">
        <v>1102</v>
      </c>
      <c r="B102" s="2">
        <v>1</v>
      </c>
      <c r="C102" t="str">
        <f t="shared" si="6"/>
        <v>'1102'</v>
      </c>
      <c r="D102" t="str">
        <f>$N$1 &amp; "LanguageRole-Label" &amp; $N$1</f>
        <v>'LanguageRole-Label'</v>
      </c>
      <c r="E102" t="str">
        <f>$N$1 &amp; "Language" &amp; $N$1</f>
        <v>'Language'</v>
      </c>
      <c r="F102" t="str">
        <f t="shared" si="3"/>
        <v>insert into sysLocalizationText Values(1102,'1102','LanguageRole-Label','Language',getdate(),getdate(),1)</v>
      </c>
    </row>
    <row r="103" spans="1:6">
      <c r="A103">
        <v>1103</v>
      </c>
      <c r="B103" s="2">
        <v>1</v>
      </c>
      <c r="C103" t="str">
        <f t="shared" si="6"/>
        <v>'1103'</v>
      </c>
      <c r="D103" t="str">
        <f>$N$1 &amp; "AlterProfileImage-Label" &amp; $N$1</f>
        <v>'AlterProfileImage-Label'</v>
      </c>
      <c r="E103" t="str">
        <f>$N$1 &amp; "Change Profile Image" &amp; $N$1</f>
        <v>'Change Profile Image'</v>
      </c>
      <c r="F103" t="str">
        <f t="shared" si="3"/>
        <v>insert into sysLocalizationText Values(1103,'1103','AlterProfileImage-Label','Change Profile Image',getdate(),getdate(),1)</v>
      </c>
    </row>
    <row r="104" spans="1:6">
      <c r="A104">
        <v>1104</v>
      </c>
      <c r="B104" s="2">
        <v>1</v>
      </c>
      <c r="C104" t="str">
        <f t="shared" si="6"/>
        <v>'1104'</v>
      </c>
      <c r="D104" t="str">
        <f>$N$1 &amp; "AlterPasswordStep1-Label" &amp; $N$1</f>
        <v>'AlterPasswordStep1-Label'</v>
      </c>
      <c r="E104" t="str">
        <f>$N$1 &amp; "Click on the link below to receive an email with the security code to change your password" &amp; $N$1</f>
        <v>'Click on the link below to receive an email with the security code to change your password'</v>
      </c>
      <c r="F104" t="str">
        <f t="shared" si="3"/>
        <v>insert into sysLocalizationText Values(1104,'1104','AlterPasswordStep1-Label','Click on the link below to receive an email with the security code to change your password',getdate(),getdate(),1)</v>
      </c>
    </row>
    <row r="105" spans="1:6">
      <c r="A105">
        <v>1105</v>
      </c>
      <c r="B105" s="2">
        <v>1</v>
      </c>
      <c r="C105" t="str">
        <f t="shared" si="6"/>
        <v>'1105'</v>
      </c>
      <c r="D105" t="str">
        <f>$N$1 &amp; "AlterPasswordStep2-Label" &amp; $N$1</f>
        <v>'AlterPasswordStep2-Label'</v>
      </c>
      <c r="E105" t="str">
        <f>$N$1 &amp; "After receiving the code, fill in the information below and click Change Password" &amp; $N$1</f>
        <v>'After receiving the code, fill in the information below and click Change Password'</v>
      </c>
      <c r="F105" t="str">
        <f t="shared" si="3"/>
        <v>insert into sysLocalizationText Values(1105,'1105','AlterPasswordStep2-Label','After receiving the code, fill in the information below and click Change Password',getdate(),getdate(),1)</v>
      </c>
    </row>
    <row r="106" spans="1:6">
      <c r="A106">
        <v>1106</v>
      </c>
      <c r="B106" s="2">
        <v>1</v>
      </c>
      <c r="C106" t="str">
        <f t="shared" si="6"/>
        <v>'1106'</v>
      </c>
      <c r="D106" t="str">
        <f>$N$1 &amp; "InputNewPassword-Label" &amp; $N$1</f>
        <v>'InputNewPassword-Label'</v>
      </c>
      <c r="E106" t="str">
        <f>$N$1 &amp; "Input the new password" &amp; $N$1</f>
        <v>'Input the new password'</v>
      </c>
      <c r="F106" t="str">
        <f t="shared" si="3"/>
        <v>insert into sysLocalizationText Values(1106,'1106','InputNewPassword-Label','Input the new password',getdate(),getdate(),1)</v>
      </c>
    </row>
    <row r="107" spans="1:6">
      <c r="A107">
        <v>1107</v>
      </c>
      <c r="B107" s="2">
        <v>1</v>
      </c>
      <c r="C107" t="str">
        <f t="shared" si="6"/>
        <v>'1107'</v>
      </c>
      <c r="D107" t="str">
        <f>$N$1 &amp; "AlterPasswordButton-Label" &amp; $N$1</f>
        <v>'AlterPasswordButton-Label'</v>
      </c>
      <c r="E107" t="str">
        <f>$N$1 &amp; "Change Password" &amp; $N$1</f>
        <v>'Change Password'</v>
      </c>
      <c r="F107" t="str">
        <f t="shared" si="3"/>
        <v>insert into sysLocalizationText Values(1107,'1107','AlterPasswordButton-Label','Change Password',getdate(),getdate(),1)</v>
      </c>
    </row>
    <row r="108" spans="1:6">
      <c r="A108">
        <v>1108</v>
      </c>
      <c r="B108" s="2">
        <v>1</v>
      </c>
      <c r="C108" t="str">
        <f t="shared" si="6"/>
        <v>'1108'</v>
      </c>
      <c r="D108" t="str">
        <f>$N$1 &amp; "AlterPasswordButton-Loading" &amp; $N$1</f>
        <v>'AlterPasswordButton-Loading'</v>
      </c>
      <c r="E108" t="str">
        <f>$N$1 &amp; "Changing password..." &amp; $N$1</f>
        <v>'Changing password...'</v>
      </c>
      <c r="F108" t="str">
        <f t="shared" si="3"/>
        <v>insert into sysLocalizationText Values(1108,'1108','AlterPasswordButton-Loading','Changing password...',getdate(),getdate(),1)</v>
      </c>
    </row>
    <row r="109" spans="1:6">
      <c r="A109">
        <v>1109</v>
      </c>
      <c r="B109" s="2">
        <v>1</v>
      </c>
      <c r="C109" t="str">
        <f t="shared" ref="C109:C120" si="7">"'" &amp; A109 &amp; "'"</f>
        <v>'1109'</v>
      </c>
      <c r="D109" t="str">
        <f>$N$1 &amp; "InvalidCredentials-Title" &amp; $N$1</f>
        <v>'InvalidCredentials-Title'</v>
      </c>
      <c r="E109" t="str">
        <f>$N$1 &amp; "Invalid Credentiais" &amp; $N$1</f>
        <v>'Invalid Credentiais'</v>
      </c>
      <c r="F109" t="str">
        <f t="shared" si="3"/>
        <v>insert into sysLocalizationText Values(1109,'1109','InvalidCredentials-Title','Invalid Credentiais',getdate(),getdate(),1)</v>
      </c>
    </row>
    <row r="110" spans="1:6">
      <c r="A110">
        <v>1110</v>
      </c>
      <c r="B110" s="2">
        <v>1</v>
      </c>
      <c r="C110" t="str">
        <f t="shared" si="7"/>
        <v>'1110'</v>
      </c>
      <c r="D110" t="str">
        <f>$N$1 &amp; "InvalidCredentials-Message" &amp; $N$1</f>
        <v>'InvalidCredentials-Message'</v>
      </c>
      <c r="E110" t="str">
        <f>$N$1 &amp; "E-mail or password invalid." &amp; $N$1</f>
        <v>'E-mail or password invalid.'</v>
      </c>
      <c r="F110" t="str">
        <f t="shared" si="3"/>
        <v>insert into sysLocalizationText Values(1110,'1110','InvalidCredentials-Message','E-mail or password invalid.',getdate(),getdate(),1)</v>
      </c>
    </row>
    <row r="111" spans="1:6">
      <c r="A111">
        <v>1111</v>
      </c>
      <c r="B111" s="2">
        <v>1</v>
      </c>
      <c r="C111" t="str">
        <f t="shared" si="7"/>
        <v>'1111'</v>
      </c>
      <c r="D111" t="str">
        <f>$N$1 &amp; "TemporaryPassword-Title" &amp; $N$1</f>
        <v>'TemporaryPassword-Title'</v>
      </c>
      <c r="E111" t="str">
        <f>$N$1 &amp; "Temporary Password Sent" &amp; $N$1</f>
        <v>'Temporary Password Sent'</v>
      </c>
      <c r="F111" t="str">
        <f t="shared" si="3"/>
        <v>insert into sysLocalizationText Values(1111,'1111','TemporaryPassword-Title','Temporary Password Sent',getdate(),getdate(),1)</v>
      </c>
    </row>
    <row r="112" spans="1:6">
      <c r="A112">
        <v>1112</v>
      </c>
      <c r="B112" s="2">
        <v>1</v>
      </c>
      <c r="C112" t="str">
        <f t="shared" si="7"/>
        <v>'1112'</v>
      </c>
      <c r="D112" t="str">
        <f>$N$1 &amp; "TemporaryPassword-Message" &amp; $N$1</f>
        <v>'TemporaryPassword-Message'</v>
      </c>
      <c r="E112" t="str">
        <f>$N$1 &amp; "A temporary password has been sent to your registration e-mail. When logging in, ask to change your password." &amp; $N$1</f>
        <v>'A temporary password has been sent to your registration e-mail. When logging in, ask to change your password.'</v>
      </c>
      <c r="F112" t="str">
        <f t="shared" si="3"/>
        <v>insert into sysLocalizationText Values(1112,'1112','TemporaryPassword-Message','A temporary password has been sent to your registration e-mail. When logging in, ask to change your password.',getdate(),getdate(),1)</v>
      </c>
    </row>
    <row r="113" spans="1:6">
      <c r="A113">
        <v>1113</v>
      </c>
      <c r="B113" s="2">
        <v>1</v>
      </c>
      <c r="C113" t="str">
        <f t="shared" si="7"/>
        <v>'1113'</v>
      </c>
      <c r="D113" t="str">
        <f>$N$1 &amp; "SuccessActivated-Title" &amp; $N$1</f>
        <v>'SuccessActivated-Title'</v>
      </c>
      <c r="E113" t="str">
        <f>$N$1 &amp; "Activation Successfuly" &amp; $N$1</f>
        <v>'Activation Successfuly'</v>
      </c>
      <c r="F113" t="str">
        <f t="shared" si="3"/>
        <v>insert into sysLocalizationText Values(1113,'1113','SuccessActivated-Title','Activation Successfuly',getdate(),getdate(),1)</v>
      </c>
    </row>
    <row r="114" spans="1:6">
      <c r="A114">
        <v>1114</v>
      </c>
      <c r="B114" s="2">
        <v>1</v>
      </c>
      <c r="C114" t="str">
        <f t="shared" si="7"/>
        <v>'1114'</v>
      </c>
      <c r="D114" t="str">
        <f>$N$1 &amp; "SuccessActivated-Message" &amp; $N$1</f>
        <v>'SuccessActivated-Message'</v>
      </c>
      <c r="E114" t="str">
        <f>$N$1 &amp; "The account has been successfully activated. You can now log in." &amp; $N$1</f>
        <v>'The account has been successfully activated. You can now log in.'</v>
      </c>
      <c r="F114" t="str">
        <f t="shared" si="3"/>
        <v>insert into sysLocalizationText Values(1114,'1114','SuccessActivated-Message','The account has been successfully activated. You can now log in.',getdate(),getdate(),1)</v>
      </c>
    </row>
    <row r="115" spans="1:6">
      <c r="A115">
        <v>1115</v>
      </c>
      <c r="B115" s="2">
        <v>1</v>
      </c>
      <c r="C115" t="str">
        <f t="shared" si="7"/>
        <v>'1115'</v>
      </c>
      <c r="D115" t="str">
        <f>$N$1 &amp; "ActivateCode-Title" &amp; $N$1</f>
        <v>'ActivateCode-Title'</v>
      </c>
      <c r="E115" t="str">
        <f>$N$1 &amp; "Code was Sent ." &amp; $N$1</f>
        <v>'Code was Sent .'</v>
      </c>
      <c r="F115" t="str">
        <f t="shared" si="3"/>
        <v>insert into sysLocalizationText Values(1115,'1115','ActivateCode-Title','Code was Sent .',getdate(),getdate(),1)</v>
      </c>
    </row>
    <row r="116" spans="1:6">
      <c r="A116">
        <v>1116</v>
      </c>
      <c r="B116" s="2">
        <v>1</v>
      </c>
      <c r="C116" t="str">
        <f t="shared" si="7"/>
        <v>'1116'</v>
      </c>
      <c r="D116" t="str">
        <f>$N$1 &amp; "ActivateCode-Message" &amp; $N$1</f>
        <v>'ActivateCode-Message'</v>
      </c>
      <c r="E116" t="str">
        <f>$N$1 &amp; "A security code has been sent by e-mail." &amp; $N$1</f>
        <v>'A security code has been sent by e-mail.'</v>
      </c>
      <c r="F116" t="str">
        <f t="shared" si="3"/>
        <v>insert into sysLocalizationText Values(1116,'1116','ActivateCode-Message','A security code has been sent by e-mail.',getdate(),getdate(),1)</v>
      </c>
    </row>
    <row r="117" spans="1:6">
      <c r="A117">
        <v>1117</v>
      </c>
      <c r="B117" s="2">
        <v>1</v>
      </c>
      <c r="C117" t="str">
        <f t="shared" si="7"/>
        <v>'1117'</v>
      </c>
      <c r="D117" t="str">
        <f>$N$1 &amp; "PasswordChanged-Title" &amp; $N$1</f>
        <v>'PasswordChanged-Title'</v>
      </c>
      <c r="E117" t="str">
        <f>$N$1 &amp; "Changed Password" &amp; $N$1</f>
        <v>'Changed Password'</v>
      </c>
      <c r="F117" t="str">
        <f t="shared" si="3"/>
        <v>insert into sysLocalizationText Values(1117,'1117','PasswordChanged-Title','Changed Password',getdate(),getdate(),1)</v>
      </c>
    </row>
    <row r="118" spans="1:6">
      <c r="A118">
        <v>1118</v>
      </c>
      <c r="B118" s="2">
        <v>1</v>
      </c>
      <c r="C118" t="str">
        <f t="shared" si="7"/>
        <v>'1118'</v>
      </c>
      <c r="D118" t="str">
        <f>$N$1 &amp; "PasswordChanged-Message" &amp; $N$1</f>
        <v>'PasswordChanged-Message'</v>
      </c>
      <c r="E118" t="str">
        <f>$N$1 &amp; "The password has been successfully changed. Log in again." &amp; $N$1</f>
        <v>'The password has been successfully changed. Log in again.'</v>
      </c>
      <c r="F118" t="str">
        <f t="shared" si="3"/>
        <v>insert into sysLocalizationText Values(1118,'1118','PasswordChanged-Message','The password has been successfully changed. Log in again.',getdate(),getdate(),1)</v>
      </c>
    </row>
    <row r="119" spans="1:6">
      <c r="A119">
        <v>1119</v>
      </c>
      <c r="B119" s="2">
        <v>1</v>
      </c>
      <c r="C119" t="str">
        <f t="shared" si="7"/>
        <v>'1119'</v>
      </c>
      <c r="D119" t="str">
        <f>$N$1 &amp; "ImageChanged-Title" &amp; $N$1</f>
        <v>'ImageChanged-Title'</v>
      </c>
      <c r="E119" t="str">
        <f>$N$1 &amp; "Altered Image" &amp; $N$1</f>
        <v>'Altered Image'</v>
      </c>
      <c r="F119" t="str">
        <f t="shared" si="3"/>
        <v>insert into sysLocalizationText Values(1119,'1119','ImageChanged-Title','Altered Image',getdate(),getdate(),1)</v>
      </c>
    </row>
    <row r="120" spans="1:6">
      <c r="A120">
        <v>1120</v>
      </c>
      <c r="B120" s="2">
        <v>1</v>
      </c>
      <c r="C120" t="str">
        <f t="shared" si="7"/>
        <v>'1120'</v>
      </c>
      <c r="D120" t="str">
        <f>$N$1 &amp; "ImageChanged-Message" &amp; $N$1</f>
        <v>'ImageChanged-Message'</v>
      </c>
      <c r="E120" t="str">
        <f>$N$1 &amp; "The profile picture has been changed. At the next login the new image will be displayed." &amp; $N$1</f>
        <v>'The profile picture has been changed. At the next login the new image will be displayed.'</v>
      </c>
      <c r="F120" t="str">
        <f t="shared" si="3"/>
        <v>insert into sysLocalizationText Values(1120,'1120','ImageChanged-Message','The profile picture has been changed. At the next login the new image will be displayed.',getdate(),getdate(),1)</v>
      </c>
    </row>
    <row r="121" spans="1:6">
      <c r="A121">
        <v>1121</v>
      </c>
      <c r="B121" s="2">
        <v>1</v>
      </c>
      <c r="C121" t="str">
        <f t="shared" si="2"/>
        <v>'1121'</v>
      </c>
      <c r="D121" t="str">
        <f>$N$1 &amp; "SearchByEmail-Label" &amp; $N$1</f>
        <v>'SearchByEmail-Label'</v>
      </c>
      <c r="E121" t="str">
        <f>$N$1 &amp; "By E-mail" &amp; $N$1</f>
        <v>'By E-mail'</v>
      </c>
      <c r="F121" t="str">
        <f t="shared" si="3"/>
        <v>insert into sysLocalizationText Values(1121,'1121','SearchByEmail-Label','By E-mail',getdate(),getdate(),1)</v>
      </c>
    </row>
    <row r="122" spans="1:6">
      <c r="A122">
        <v>1122</v>
      </c>
      <c r="B122" s="2">
        <v>1</v>
      </c>
      <c r="C122" t="str">
        <f t="shared" si="2"/>
        <v>'1122'</v>
      </c>
      <c r="D122" t="str">
        <f>$N$1 &amp; "SearchByUserName-Label" &amp; $N$1</f>
        <v>'SearchByUserName-Label'</v>
      </c>
      <c r="E122" t="str">
        <f>$N$1 &amp; "By User Name" &amp; $N$1</f>
        <v>'By User Name'</v>
      </c>
      <c r="F122" t="str">
        <f t="shared" si="3"/>
        <v>insert into sysLocalizationText Values(1122,'1122','SearchByUserName-Label','By User Name',getdate(),getdate(),1)</v>
      </c>
    </row>
    <row r="123" spans="1:6">
      <c r="A123">
        <v>1123</v>
      </c>
      <c r="B123" s="2">
        <v>1</v>
      </c>
      <c r="C123" t="str">
        <f t="shared" si="2"/>
        <v>'1123'</v>
      </c>
      <c r="D123" t="str">
        <f>$N$1 &amp; "SearchByEmail-Description" &amp; $N$1</f>
        <v>'SearchByEmail-Description'</v>
      </c>
      <c r="E123" t="str">
        <f>$N$1 &amp; "Search By E-mail" &amp; $N$1</f>
        <v>'Search By E-mail'</v>
      </c>
      <c r="F123" t="str">
        <f t="shared" si="3"/>
        <v>insert into sysLocalizationText Values(1123,'1123','SearchByEmail-Description','Search By E-mail',getdate(),getdate(),1)</v>
      </c>
    </row>
    <row r="124" spans="1:6">
      <c r="A124">
        <v>1124</v>
      </c>
      <c r="B124" s="2">
        <v>1</v>
      </c>
      <c r="C124" t="str">
        <f t="shared" si="2"/>
        <v>'1124'</v>
      </c>
      <c r="D124" t="str">
        <f>$N$1 &amp; "SearchByUserName-Description" &amp; $N$1</f>
        <v>'SearchByUserName-Description'</v>
      </c>
      <c r="E124" t="str">
        <f>$N$1 &amp; "Search By User Name" &amp; $N$1</f>
        <v>'Search By User Name'</v>
      </c>
      <c r="F124" t="str">
        <f t="shared" si="3"/>
        <v>insert into sysLocalizationText Values(1124,'1124','SearchByUserName-Description','Search By User Name',getdate(),getdate(),1)</v>
      </c>
    </row>
    <row r="125" spans="1:6">
      <c r="A125">
        <v>1125</v>
      </c>
      <c r="B125" s="2">
        <v>1</v>
      </c>
      <c r="C125" t="str">
        <f t="shared" si="2"/>
        <v>'1125'</v>
      </c>
      <c r="D125" t="str">
        <f>$N$1 &amp; "SearchByInstance-Label" &amp; $N$1</f>
        <v>'SearchByInstance-Label'</v>
      </c>
      <c r="E125" t="str">
        <f>$N$1 &amp; "By Instance" &amp; $N$1</f>
        <v>'By Instance'</v>
      </c>
      <c r="F125" t="str">
        <f t="shared" si="3"/>
        <v>insert into sysLocalizationText Values(1125,'1125','SearchByInstance-Label','By Instance',getdate(),getdate(),1)</v>
      </c>
    </row>
    <row r="126" spans="1:6">
      <c r="A126">
        <v>1126</v>
      </c>
      <c r="B126" s="2">
        <v>1</v>
      </c>
      <c r="C126" t="str">
        <f t="shared" si="2"/>
        <v>'1126'</v>
      </c>
      <c r="D126" t="str">
        <f>$N$1 &amp; "SearchByRole-Label" &amp; $N$1</f>
        <v>'SearchByRole-Label'</v>
      </c>
      <c r="E126" t="str">
        <f>$N$1 &amp; "By Role" &amp; $N$1</f>
        <v>'By Role'</v>
      </c>
      <c r="F126" t="str">
        <f t="shared" si="3"/>
        <v>insert into sysLocalizationText Values(1126,'1126','SearchByRole-Label','By Role',getdate(),getdate(),1)</v>
      </c>
    </row>
    <row r="127" spans="1:6">
      <c r="A127">
        <v>1127</v>
      </c>
      <c r="B127" s="2">
        <v>1</v>
      </c>
      <c r="C127" t="str">
        <f t="shared" si="2"/>
        <v>'1127'</v>
      </c>
      <c r="D127" t="str">
        <f>$N$1 &amp; "NewUser-Label" &amp; $N$1</f>
        <v>'NewUser-Label'</v>
      </c>
      <c r="E127" t="str">
        <f>$N$1 &amp; "New User" &amp; $N$1</f>
        <v>'New User'</v>
      </c>
      <c r="F127" t="str">
        <f t="shared" si="3"/>
        <v>insert into sysLocalizationText Values(1127,'1127','NewUser-Label','New User',getdate(),getdate(),1)</v>
      </c>
    </row>
    <row r="128" spans="1:6">
      <c r="A128">
        <v>1128</v>
      </c>
      <c r="B128" s="2">
        <v>1</v>
      </c>
      <c r="C128" t="str">
        <f t="shared" si="2"/>
        <v>'1128'</v>
      </c>
      <c r="D128" t="str">
        <f>$N$1 &amp; "NewUser-Description" &amp; $N$1</f>
        <v>'NewUser-Description'</v>
      </c>
      <c r="E128" t="str">
        <f>$N$1 &amp; "Click here to create new User" &amp; $N$1</f>
        <v>'Click here to create new User'</v>
      </c>
      <c r="F128" t="str">
        <f t="shared" si="3"/>
        <v>insert into sysLocalizationText Values(1128,'1128','NewUser-Description','Click here to create new User',getdate(),getdate(),1)</v>
      </c>
    </row>
    <row r="129" spans="1:6">
      <c r="A129">
        <v>1129</v>
      </c>
      <c r="B129" s="2">
        <v>1</v>
      </c>
      <c r="C129" t="str">
        <f t="shared" si="2"/>
        <v>'1129'</v>
      </c>
      <c r="D129" t="str">
        <f>$N$1 &amp; "Active-Label" &amp; $N$1</f>
        <v>'Active-Label'</v>
      </c>
      <c r="E129" t="str">
        <f>$N$1 &amp; "Active" &amp; $N$1</f>
        <v>'Active'</v>
      </c>
      <c r="F129" t="str">
        <f t="shared" si="3"/>
        <v>insert into sysLocalizationText Values(1129,'1129','Active-Label','Active',getdate(),getdate(),1)</v>
      </c>
    </row>
    <row r="130" spans="1:6">
      <c r="A130">
        <v>1130</v>
      </c>
      <c r="B130" s="2">
        <v>1</v>
      </c>
      <c r="C130" t="str">
        <f t="shared" si="2"/>
        <v>'1130'</v>
      </c>
      <c r="D130" t="str">
        <f>$N$1 &amp; "Locked-Label" &amp; $N$1</f>
        <v>'Locked-Label'</v>
      </c>
      <c r="E130" t="str">
        <f>$N$1 &amp; "Locked" &amp; $N$1</f>
        <v>'Locked'</v>
      </c>
      <c r="F130" t="str">
        <f t="shared" ref="F130:F193" si="8">"insert into sysLocalizationText Values(" &amp;A130 &amp; "," &amp;C130 &amp; "," &amp; D130 &amp; "," &amp; E130 &amp; ",getdate(),getdate()," &amp; B130 &amp; ")"</f>
        <v>insert into sysLocalizationText Values(1130,'1130','Locked-Label','Locked',getdate(),getdate(),1)</v>
      </c>
    </row>
    <row r="131" spans="1:6">
      <c r="A131">
        <v>1131</v>
      </c>
      <c r="B131" s="2">
        <v>1</v>
      </c>
      <c r="C131" t="str">
        <f t="shared" si="2"/>
        <v>'1131'</v>
      </c>
      <c r="D131" t="str">
        <f>$N$1 &amp; "MainData-Label" &amp; $N$1</f>
        <v>'MainData-Label'</v>
      </c>
      <c r="E131" t="str">
        <f>$N$1 &amp; "Main Data" &amp; $N$1</f>
        <v>'Main Data'</v>
      </c>
      <c r="F131" t="str">
        <f t="shared" si="8"/>
        <v>insert into sysLocalizationText Values(1131,'1131','MainData-Label','Main Data',getdate(),getdate(),1)</v>
      </c>
    </row>
    <row r="132" spans="1:6">
      <c r="A132">
        <v>1132</v>
      </c>
      <c r="B132" s="2">
        <v>1</v>
      </c>
      <c r="C132" t="str">
        <f t="shared" si="2"/>
        <v>'1132'</v>
      </c>
      <c r="D132" t="str">
        <f>$N$1 &amp; "User-SecondTabLabel" &amp; $N$1</f>
        <v>'User-SecondTabLabel'</v>
      </c>
      <c r="E132" t="str">
        <f>$N$1 &amp; "Instances &amp; Roles" &amp; $N$1</f>
        <v>'Instances &amp; Roles'</v>
      </c>
      <c r="F132" t="str">
        <f t="shared" si="8"/>
        <v>insert into sysLocalizationText Values(1132,'1132','User-SecondTabLabel','Instances &amp; Roles',getdate(),getdate(),1)</v>
      </c>
    </row>
    <row r="133" spans="1:6">
      <c r="A133">
        <v>1133</v>
      </c>
      <c r="B133" s="2">
        <v>1</v>
      </c>
      <c r="C133" t="str">
        <f t="shared" si="2"/>
        <v>'1133'</v>
      </c>
      <c r="D133" t="str">
        <f>$N$1 &amp; "CreateDate-Label" &amp; $N$1</f>
        <v>'CreateDate-Label'</v>
      </c>
      <c r="E133" t="str">
        <f>$N$1 &amp; "Create Date" &amp; $N$1</f>
        <v>'Create Date'</v>
      </c>
      <c r="F133" t="str">
        <f t="shared" si="8"/>
        <v>insert into sysLocalizationText Values(1133,'1133','CreateDate-Label','Create Date',getdate(),getdate(),1)</v>
      </c>
    </row>
    <row r="134" spans="1:6">
      <c r="A134">
        <v>1134</v>
      </c>
      <c r="B134" s="2">
        <v>1</v>
      </c>
      <c r="C134" t="str">
        <f t="shared" si="2"/>
        <v>'1134'</v>
      </c>
      <c r="D134" t="str">
        <f>$N$1 &amp; "LastLoginDate-Label" &amp; $N$1</f>
        <v>'LastLoginDate-Label'</v>
      </c>
      <c r="E134" t="str">
        <f>$N$1 &amp; "Last Login Date" &amp; $N$1</f>
        <v>'Last Login Date'</v>
      </c>
      <c r="F134" t="str">
        <f t="shared" si="8"/>
        <v>insert into sysLocalizationText Values(1134,'1134','LastLoginDate-Label','Last Login Date',getdate(),getdate(),1)</v>
      </c>
    </row>
    <row r="135" spans="1:6">
      <c r="A135">
        <v>1135</v>
      </c>
      <c r="B135" s="2">
        <v>1</v>
      </c>
      <c r="C135" t="str">
        <f t="shared" si="2"/>
        <v>'1135'</v>
      </c>
      <c r="D135" t="str">
        <f>$N$1 &amp; "DefaultLanguage-Label" &amp; $N$1</f>
        <v>'DefaultLanguage-Label'</v>
      </c>
      <c r="E135" t="str">
        <f>$N$1 &amp; "Default Language" &amp; $N$1</f>
        <v>'Default Language'</v>
      </c>
      <c r="F135" t="str">
        <f t="shared" si="8"/>
        <v>insert into sysLocalizationText Values(1135,'1135','DefaultLanguage-Label','Default Language',getdate(),getdate(),1)</v>
      </c>
    </row>
    <row r="136" spans="1:6">
      <c r="A136">
        <v>1136</v>
      </c>
      <c r="B136" s="2">
        <v>1</v>
      </c>
      <c r="C136" t="str">
        <f t="shared" si="2"/>
        <v>'1136'</v>
      </c>
      <c r="D136" t="str">
        <f>$N$1 &amp; "LastLoginIP-Label" &amp; $N$1</f>
        <v>'LastLoginIP-Label'</v>
      </c>
      <c r="E136" t="str">
        <f>$N$1 &amp; "Last Login IP" &amp; $N$1</f>
        <v>'Last Login IP'</v>
      </c>
      <c r="F136" t="str">
        <f t="shared" si="8"/>
        <v>insert into sysLocalizationText Values(1136,'1136','LastLoginIP-Label','Last Login IP',getdate(),getdate(),1)</v>
      </c>
    </row>
    <row r="137" spans="1:6">
      <c r="A137">
        <v>1137</v>
      </c>
      <c r="B137" s="2">
        <v>1</v>
      </c>
      <c r="C137" t="str">
        <f t="shared" si="2"/>
        <v>'1137'</v>
      </c>
      <c r="D137" t="str">
        <f>$N$1 &amp; "LoginCounter-Label" &amp; $N$1</f>
        <v>'LoginCounter-Label'</v>
      </c>
      <c r="E137" t="str">
        <f>$N$1 &amp; "Login Counter" &amp; $N$1</f>
        <v>'Login Counter'</v>
      </c>
      <c r="F137" t="str">
        <f t="shared" si="8"/>
        <v>insert into sysLocalizationText Values(1137,'1137','LoginCounter-Label','Login Counter',getdate(),getdate(),1)</v>
      </c>
    </row>
    <row r="138" spans="1:6">
      <c r="A138">
        <v>1138</v>
      </c>
      <c r="B138" s="2">
        <v>1</v>
      </c>
      <c r="C138" t="str">
        <f t="shared" si="2"/>
        <v>'1138'</v>
      </c>
      <c r="D138" t="str">
        <f>$N$1 &amp; "PasswordRecovery-Label" &amp; $N$1</f>
        <v>'PasswordRecovery-Label'</v>
      </c>
      <c r="E138" t="str">
        <f>$N$1 &amp; "Password Recovery Code" &amp; $N$1</f>
        <v>'Password Recovery Code'</v>
      </c>
      <c r="F138" t="str">
        <f t="shared" si="8"/>
        <v>insert into sysLocalizationText Values(1138,'1138','PasswordRecovery-Label','Password Recovery Code',getdate(),getdate(),1)</v>
      </c>
    </row>
    <row r="139" spans="1:6">
      <c r="A139">
        <v>1139</v>
      </c>
      <c r="B139" s="2">
        <v>1</v>
      </c>
      <c r="C139" t="str">
        <f t="shared" si="2"/>
        <v>'1139'</v>
      </c>
      <c r="D139" t="str">
        <f>$N$1 &amp; "AlterInstance-Label" &amp; $N$1</f>
        <v>'AlterInstance-Label'</v>
      </c>
      <c r="E139" t="str">
        <f>$N$1 &amp; "Alter Instance" &amp; $N$1</f>
        <v>'Alter Instance'</v>
      </c>
      <c r="F139" t="str">
        <f t="shared" si="8"/>
        <v>insert into sysLocalizationText Values(1139,'1139','AlterInstance-Label','Alter Instance',getdate(),getdate(),1)</v>
      </c>
    </row>
    <row r="140" spans="1:6">
      <c r="A140">
        <v>1140</v>
      </c>
      <c r="B140" s="2">
        <v>1</v>
      </c>
      <c r="C140" t="str">
        <f t="shared" si="2"/>
        <v>'1140'</v>
      </c>
      <c r="D140" t="str">
        <f>$N$1 &amp; "AlterInstance-Description" &amp; $N$1</f>
        <v>'AlterInstance-Description'</v>
      </c>
      <c r="E140" t="str">
        <f>$N$1 &amp; "Select a Instance to change" &amp; $N$1</f>
        <v>'Select a Instance to change'</v>
      </c>
      <c r="F140" t="str">
        <f t="shared" si="8"/>
        <v>insert into sysLocalizationText Values(1140,'1140','AlterInstance-Description','Select a Instance to change',getdate(),getdate(),1)</v>
      </c>
    </row>
    <row r="141" spans="1:6">
      <c r="A141">
        <v>1141</v>
      </c>
      <c r="B141" s="2">
        <v>1</v>
      </c>
      <c r="C141" t="str">
        <f t="shared" si="2"/>
        <v>'1141'</v>
      </c>
      <c r="D141" t="str">
        <f>$N$1 &amp; "Altering-Label" &amp; $N$1</f>
        <v>'Altering-Label'</v>
      </c>
      <c r="E141" t="str">
        <f>$N$1 &amp; "Altering..." &amp; $N$1</f>
        <v>'Altering...'</v>
      </c>
      <c r="F141" t="str">
        <f t="shared" si="8"/>
        <v>insert into sysLocalizationText Values(1141,'1141','Altering-Label','Altering...',getdate(),getdate(),1)</v>
      </c>
    </row>
    <row r="142" spans="1:6">
      <c r="A142">
        <v>1142</v>
      </c>
      <c r="B142" s="2">
        <v>1</v>
      </c>
      <c r="C142" t="str">
        <f t="shared" si="2"/>
        <v>'1142'</v>
      </c>
      <c r="D142" t="str">
        <f>$N$1 &amp; "AlterRole-Label" &amp; $N$1</f>
        <v>'AlterRole-Label'</v>
      </c>
      <c r="E142" t="str">
        <f>$N$1 &amp; "Alter Role" &amp; $N$1</f>
        <v>'Alter Role'</v>
      </c>
      <c r="F142" t="str">
        <f t="shared" si="8"/>
        <v>insert into sysLocalizationText Values(1142,'1142','AlterRole-Label','Alter Role',getdate(),getdate(),1)</v>
      </c>
    </row>
    <row r="143" spans="1:6">
      <c r="A143">
        <v>1143</v>
      </c>
      <c r="B143" s="2">
        <v>1</v>
      </c>
      <c r="C143" t="str">
        <f t="shared" si="2"/>
        <v>'1143'</v>
      </c>
      <c r="D143" t="str">
        <f>$N$1 &amp; "AlterRole-Description" &amp; $N$1</f>
        <v>'AlterRole-Description'</v>
      </c>
      <c r="E143" t="str">
        <f>$N$1 &amp; "Select a Role to change" &amp; $N$1</f>
        <v>'Select a Role to change'</v>
      </c>
      <c r="F143" t="str">
        <f t="shared" si="8"/>
        <v>insert into sysLocalizationText Values(1143,'1143','AlterRole-Description','Select a Role to change',getdate(),getdate(),1)</v>
      </c>
    </row>
    <row r="144" spans="1:6">
      <c r="A144">
        <v>1144</v>
      </c>
      <c r="B144" s="2">
        <v>1</v>
      </c>
      <c r="C144" t="str">
        <f t="shared" si="2"/>
        <v>'1144'</v>
      </c>
      <c r="D144" t="str">
        <f>$N$1 &amp; "UserStatus-Label" &amp; $N$1</f>
        <v>'UserStatus-Label'</v>
      </c>
      <c r="E144" t="str">
        <f>$N$1 &amp; "User Status" &amp; $N$1</f>
        <v>'User Status'</v>
      </c>
      <c r="F144" t="str">
        <f t="shared" si="8"/>
        <v>insert into sysLocalizationText Values(1144,'1144','UserStatus-Label','User Status',getdate(),getdate(),1)</v>
      </c>
    </row>
    <row r="145" spans="1:6">
      <c r="A145">
        <v>1145</v>
      </c>
      <c r="B145" s="2">
        <v>1</v>
      </c>
      <c r="C145" t="str">
        <f t="shared" si="2"/>
        <v>'1145'</v>
      </c>
      <c r="D145" t="str">
        <f>$N$1 &amp; "ChangeUserState-Description" &amp; $N$1</f>
        <v>'ChangeUserState-Description'</v>
      </c>
      <c r="E145" t="str">
        <f>$N$1 &amp; "Click here to change status" &amp; $N$1</f>
        <v>'Click here to change status'</v>
      </c>
      <c r="F145" t="str">
        <f t="shared" si="8"/>
        <v>insert into sysLocalizationText Values(1145,'1145','ChangeUserState-Description','Click here to change status',getdate(),getdate(),1)</v>
      </c>
    </row>
    <row r="146" spans="1:6">
      <c r="A146">
        <v>1146</v>
      </c>
      <c r="B146" s="2">
        <v>1</v>
      </c>
      <c r="C146" t="str">
        <f t="shared" si="2"/>
        <v>'1146'</v>
      </c>
      <c r="D146" t="str">
        <f>$N$1 &amp; "ChangeUserState-Label" &amp; $N$1</f>
        <v>'ChangeUserState-Label'</v>
      </c>
      <c r="E146" t="str">
        <f>$N$1 &amp; "Update Status" &amp; $N$1</f>
        <v>'Update Status'</v>
      </c>
      <c r="F146" t="str">
        <f t="shared" si="8"/>
        <v>insert into sysLocalizationText Values(1146,'1146','ChangeUserState-Label','Update Status',getdate(),getdate(),1)</v>
      </c>
    </row>
    <row r="147" spans="1:6">
      <c r="A147">
        <v>1147</v>
      </c>
      <c r="B147" s="2">
        <v>1</v>
      </c>
      <c r="C147" t="str">
        <f t="shared" si="2"/>
        <v>'1147'</v>
      </c>
      <c r="D147" t="str">
        <f>$N$1 &amp; "CreateUser-Label" &amp; $N$1</f>
        <v>'CreateUser-Label'</v>
      </c>
      <c r="E147" t="str">
        <f>$N$1 &amp; "Creating New User" &amp; $N$1</f>
        <v>'Creating New User'</v>
      </c>
      <c r="F147" t="str">
        <f t="shared" si="8"/>
        <v>insert into sysLocalizationText Values(1147,'1147','CreateUser-Label','Creating New User',getdate(),getdate(),1)</v>
      </c>
    </row>
    <row r="148" spans="1:6">
      <c r="A148">
        <v>1148</v>
      </c>
      <c r="B148" s="2">
        <v>1</v>
      </c>
      <c r="C148" t="str">
        <f t="shared" si="2"/>
        <v>'1148'</v>
      </c>
      <c r="D148" t="str">
        <f>$N$1 &amp; "CreateUser-Description" &amp; $N$1</f>
        <v>'CreateUser-Description'</v>
      </c>
      <c r="E148" t="str">
        <f>$N$1 &amp; "Click here to create new user record." &amp; $N$1</f>
        <v>'Click here to create new user record.'</v>
      </c>
      <c r="F148" t="str">
        <f t="shared" si="8"/>
        <v>insert into sysLocalizationText Values(1148,'1148','CreateUser-Description','Click here to create new user record.',getdate(),getdate(),1)</v>
      </c>
    </row>
    <row r="149" spans="1:6">
      <c r="A149">
        <v>1149</v>
      </c>
      <c r="B149" s="2">
        <v>1</v>
      </c>
      <c r="C149" t="str">
        <f t="shared" si="2"/>
        <v>'1149'</v>
      </c>
      <c r="D149" t="str">
        <f>$N$1 &amp; "CreateUserButton-Label" &amp; $N$1</f>
        <v>'CreateUserButton-Label'</v>
      </c>
      <c r="E149" t="str">
        <f>$N$1 &amp; "Save" &amp; $N$1</f>
        <v>'Save'</v>
      </c>
      <c r="F149" t="str">
        <f t="shared" si="8"/>
        <v>insert into sysLocalizationText Values(1149,'1149','CreateUserButton-Label','Save',getdate(),getdate(),1)</v>
      </c>
    </row>
    <row r="150" spans="1:6">
      <c r="A150">
        <v>1150</v>
      </c>
      <c r="B150" s="2">
        <v>1</v>
      </c>
      <c r="C150" t="str">
        <f t="shared" si="2"/>
        <v>'1150'</v>
      </c>
      <c r="D150" t="str">
        <f>$N$1 &amp; "AlterStatus-Error" &amp; $N$1</f>
        <v>'AlterStatus-Error'</v>
      </c>
      <c r="E150" t="str">
        <f>$N$1 &amp; "Error on alter user status" &amp; $N$1</f>
        <v>'Error on alter user status'</v>
      </c>
      <c r="F150" t="str">
        <f t="shared" si="8"/>
        <v>insert into sysLocalizationText Values(1150,'1150','AlterStatus-Error','Error on alter user status',getdate(),getdate(),1)</v>
      </c>
    </row>
    <row r="151" spans="1:6">
      <c r="A151">
        <v>1151</v>
      </c>
      <c r="B151" s="2">
        <v>1</v>
      </c>
      <c r="C151" t="str">
        <f t="shared" si="2"/>
        <v>'1151'</v>
      </c>
      <c r="D151" t="str">
        <f>$N$1 &amp; "AlterStatus-Success" &amp; $N$1</f>
        <v>'AlterStatus-Success'</v>
      </c>
      <c r="E151" t="str">
        <f>$N$1 &amp; "User status altered successfuly" &amp; $N$1</f>
        <v>'User status altered successfuly'</v>
      </c>
      <c r="F151" t="str">
        <f t="shared" si="8"/>
        <v>insert into sysLocalizationText Values(1151,'1151','AlterStatus-Success','User status altered successfuly',getdate(),getdate(),1)</v>
      </c>
    </row>
    <row r="152" spans="1:6">
      <c r="A152">
        <v>1152</v>
      </c>
      <c r="B152" s="2">
        <v>1</v>
      </c>
      <c r="C152" t="str">
        <f t="shared" si="2"/>
        <v>'1152'</v>
      </c>
      <c r="D152" t="str">
        <f>$N$1 &amp; "AlterInstance-Error" &amp; $N$1</f>
        <v>'AlterInstance-Error'</v>
      </c>
      <c r="E152" t="str">
        <f>$N$1 &amp; "Error on alter instance" &amp; $N$1</f>
        <v>'Error on alter instance'</v>
      </c>
      <c r="F152" t="str">
        <f t="shared" si="8"/>
        <v>insert into sysLocalizationText Values(1152,'1152','AlterInstance-Error','Error on alter instance',getdate(),getdate(),1)</v>
      </c>
    </row>
    <row r="153" spans="1:6">
      <c r="A153">
        <v>1153</v>
      </c>
      <c r="B153" s="2">
        <v>1</v>
      </c>
      <c r="C153" t="str">
        <f t="shared" si="2"/>
        <v>'1153'</v>
      </c>
      <c r="D153" t="str">
        <f>$N$1 &amp; "AlterInstance-Success" &amp; $N$1</f>
        <v>'AlterInstance-Success'</v>
      </c>
      <c r="E153" t="str">
        <f>$N$1 &amp; "Instance altered successfuly" &amp; $N$1</f>
        <v>'Instance altered successfuly'</v>
      </c>
      <c r="F153" t="str">
        <f t="shared" si="8"/>
        <v>insert into sysLocalizationText Values(1153,'1153','AlterInstance-Success','Instance altered successfuly',getdate(),getdate(),1)</v>
      </c>
    </row>
    <row r="154" spans="1:6">
      <c r="A154">
        <v>1154</v>
      </c>
      <c r="B154" s="2">
        <v>1</v>
      </c>
      <c r="C154" t="str">
        <f t="shared" si="2"/>
        <v>'1154'</v>
      </c>
      <c r="D154" t="str">
        <f>$N$1 &amp; "AlterRole-Error" &amp; $N$1</f>
        <v>'AlterRole-Error'</v>
      </c>
      <c r="E154" t="str">
        <f>$N$1 &amp; "Error on alter user role" &amp; $N$1</f>
        <v>'Error on alter user role'</v>
      </c>
      <c r="F154" t="str">
        <f t="shared" si="8"/>
        <v>insert into sysLocalizationText Values(1154,'1154','AlterRole-Error','Error on alter user role',getdate(),getdate(),1)</v>
      </c>
    </row>
    <row r="155" spans="1:6">
      <c r="A155">
        <v>1155</v>
      </c>
      <c r="B155" s="2">
        <v>1</v>
      </c>
      <c r="C155" t="str">
        <f t="shared" si="2"/>
        <v>'1155'</v>
      </c>
      <c r="D155" t="str">
        <f>$N$1 &amp; "AlterRole-Success" &amp; $N$1</f>
        <v>'AlterRole-Success'</v>
      </c>
      <c r="E155" t="str">
        <f>$N$1 &amp; "Role altered successfuly" &amp; $N$1</f>
        <v>'Role altered successfuly'</v>
      </c>
      <c r="F155" t="str">
        <f t="shared" si="8"/>
        <v>insert into sysLocalizationText Values(1155,'1155','AlterRole-Success','Role altered successfuly',getdate(),getdate(),1)</v>
      </c>
    </row>
    <row r="156" spans="1:6">
      <c r="A156">
        <v>1156</v>
      </c>
      <c r="B156" s="2">
        <v>1</v>
      </c>
      <c r="C156" t="str">
        <f t="shared" si="2"/>
        <v>'1156'</v>
      </c>
      <c r="D156" t="str">
        <f>$N$1 &amp; "Instance-PageTitle" &amp; $N$1</f>
        <v>'Instance-PageTitle'</v>
      </c>
      <c r="E156" t="str">
        <f>$N$1 &amp; "Instance" &amp; $N$1</f>
        <v>'Instance'</v>
      </c>
      <c r="F156" t="str">
        <f t="shared" si="8"/>
        <v>insert into sysLocalizationText Values(1156,'1156','Instance-PageTitle','Instance',getdate(),getdate(),1)</v>
      </c>
    </row>
    <row r="157" spans="1:6">
      <c r="A157">
        <v>1157</v>
      </c>
      <c r="B157" s="2">
        <v>1</v>
      </c>
      <c r="C157" t="str">
        <f t="shared" si="2"/>
        <v>'1157'</v>
      </c>
      <c r="D157" t="str">
        <f>$N$1 &amp; "SearchByInstanceName-Label" &amp; $N$1</f>
        <v>'SearchByInstanceName-Label'</v>
      </c>
      <c r="E157" t="str">
        <f>$N$1 &amp; "By Instance Name" &amp; $N$1</f>
        <v>'By Instance Name'</v>
      </c>
      <c r="F157" t="str">
        <f t="shared" si="8"/>
        <v>insert into sysLocalizationText Values(1157,'1157','SearchByInstanceName-Label','By Instance Name',getdate(),getdate(),1)</v>
      </c>
    </row>
    <row r="158" spans="1:6">
      <c r="A158">
        <v>1158</v>
      </c>
      <c r="B158" s="2">
        <v>1</v>
      </c>
      <c r="C158" t="str">
        <f t="shared" si="2"/>
        <v>'1158'</v>
      </c>
      <c r="D158" t="str">
        <f>$N$1 &amp; "SearchByInstanceName-Description" &amp; $N$1</f>
        <v>'SearchByInstanceName-Description'</v>
      </c>
      <c r="E158" t="str">
        <f>$N$1 &amp; "Search by Instance Name" &amp; $N$1</f>
        <v>'Search by Instance Name'</v>
      </c>
      <c r="F158" t="str">
        <f t="shared" si="8"/>
        <v>insert into sysLocalizationText Values(1158,'1158','SearchByInstanceName-Description','Search by Instance Name',getdate(),getdate(),1)</v>
      </c>
    </row>
    <row r="159" spans="1:6">
      <c r="A159">
        <v>1159</v>
      </c>
      <c r="B159" s="2">
        <v>1</v>
      </c>
      <c r="C159" t="str">
        <f t="shared" si="2"/>
        <v>'1159'</v>
      </c>
      <c r="D159" t="str">
        <f>$N$1 &amp; "SearchByInstanceTypeName-Label" &amp; $N$1</f>
        <v>'SearchByInstanceTypeName-Label'</v>
      </c>
      <c r="E159" t="str">
        <f>$N$1 &amp; "By Type Name" &amp; $N$1</f>
        <v>'By Type Name'</v>
      </c>
      <c r="F159" t="str">
        <f t="shared" si="8"/>
        <v>insert into sysLocalizationText Values(1159,'1159','SearchByInstanceTypeName-Label','By Type Name',getdate(),getdate(),1)</v>
      </c>
    </row>
    <row r="160" spans="1:6">
      <c r="A160">
        <v>1160</v>
      </c>
      <c r="B160" s="2">
        <v>1</v>
      </c>
      <c r="C160" t="str">
        <f t="shared" si="2"/>
        <v>'1160'</v>
      </c>
      <c r="D160" t="str">
        <f>$N$1 &amp; "SearchByInstanceTypeName-Description" &amp; $N$1</f>
        <v>'SearchByInstanceTypeName-Description'</v>
      </c>
      <c r="E160" t="str">
        <f>$N$1 &amp; "Search by Type Name" &amp; $N$1</f>
        <v>'Search by Type Name'</v>
      </c>
      <c r="F160" t="str">
        <f t="shared" si="8"/>
        <v>insert into sysLocalizationText Values(1160,'1160','SearchByInstanceTypeName-Description','Search by Type Name',getdate(),getdate(),1)</v>
      </c>
    </row>
    <row r="161" spans="1:6">
      <c r="A161">
        <v>1161</v>
      </c>
      <c r="B161" s="2">
        <v>1</v>
      </c>
      <c r="C161" t="str">
        <f t="shared" si="2"/>
        <v>'1161'</v>
      </c>
      <c r="D161" t="str">
        <f>$N$1 &amp; "NewInstance-Label" &amp; $N$1</f>
        <v>'NewInstance-Label'</v>
      </c>
      <c r="E161" t="str">
        <f>$N$1 &amp; "New Instance" &amp; $N$1</f>
        <v>'New Instance'</v>
      </c>
      <c r="F161" t="str">
        <f t="shared" si="8"/>
        <v>insert into sysLocalizationText Values(1161,'1161','NewInstance-Label','New Instance',getdate(),getdate(),1)</v>
      </c>
    </row>
    <row r="162" spans="1:6">
      <c r="A162">
        <v>1162</v>
      </c>
      <c r="B162" s="2">
        <v>1</v>
      </c>
      <c r="C162" t="str">
        <f t="shared" si="2"/>
        <v>'1162'</v>
      </c>
      <c r="D162" t="str">
        <f>$N$1 &amp; "NewInstance-Description" &amp; $N$1</f>
        <v>'NewInstance-Description'</v>
      </c>
      <c r="E162" t="str">
        <f>$N$1 &amp; "Click here to create new Instance" &amp; $N$1</f>
        <v>'Click here to create new Instance'</v>
      </c>
      <c r="F162" t="str">
        <f t="shared" si="8"/>
        <v>insert into sysLocalizationText Values(1162,'1162','NewInstance-Description','Click here to create new Instance',getdate(),getdate(),1)</v>
      </c>
    </row>
    <row r="163" spans="1:6">
      <c r="A163">
        <v>1163</v>
      </c>
      <c r="B163" s="2">
        <v>1</v>
      </c>
      <c r="C163" t="str">
        <f t="shared" si="2"/>
        <v>'1163'</v>
      </c>
      <c r="D163" t="str">
        <f>$N$1 &amp; "InstanceTypeName-Label" &amp; $N$1</f>
        <v>'InstanceTypeName-Label'</v>
      </c>
      <c r="E163" t="str">
        <f>$N$1 &amp; "Instance Type Name" &amp; $N$1</f>
        <v>'Instance Type Name'</v>
      </c>
      <c r="F163" t="str">
        <f t="shared" si="8"/>
        <v>insert into sysLocalizationText Values(1163,'1163','InstanceTypeName-Label','Instance Type Name',getdate(),getdate(),1)</v>
      </c>
    </row>
    <row r="164" spans="1:6">
      <c r="A164">
        <v>1164</v>
      </c>
      <c r="B164" s="2">
        <v>1</v>
      </c>
      <c r="C164" t="str">
        <f t="shared" si="2"/>
        <v>'1164'</v>
      </c>
      <c r="D164" t="str">
        <f>$N$1 &amp; "InstanceName-Label" &amp; $N$1</f>
        <v>'InstanceName-Label'</v>
      </c>
      <c r="E164" t="str">
        <f>$N$1 &amp; "Instance Name" &amp; $N$1</f>
        <v>'Instance Name'</v>
      </c>
      <c r="F164" t="str">
        <f t="shared" si="8"/>
        <v>insert into sysLocalizationText Values(1164,'1164','InstanceName-Label','Instance Name',getdate(),getdate(),1)</v>
      </c>
    </row>
    <row r="165" spans="1:6">
      <c r="A165">
        <v>1165</v>
      </c>
      <c r="B165" s="2">
        <v>1</v>
      </c>
      <c r="C165" t="str">
        <f t="shared" si="2"/>
        <v>'1165'</v>
      </c>
      <c r="D165" t="str">
        <f>$N$1 &amp; "InstanceRecord-Label" &amp; $N$1</f>
        <v>'InstanceRecord-Label'</v>
      </c>
      <c r="E165" t="str">
        <f>$N$1 &amp; "Instance Record" &amp; $N$1</f>
        <v>'Instance Record'</v>
      </c>
      <c r="F165" t="str">
        <f t="shared" si="8"/>
        <v>insert into sysLocalizationText Values(1165,'1165','InstanceRecord-Label','Instance Record',getdate(),getdate(),1)</v>
      </c>
    </row>
    <row r="166" spans="1:6">
      <c r="A166">
        <v>1166</v>
      </c>
      <c r="B166" s="2">
        <v>1</v>
      </c>
      <c r="C166" t="str">
        <f t="shared" si="2"/>
        <v>'1166'</v>
      </c>
      <c r="D166" t="str">
        <f>$N$1 &amp; "SaveInstanceButton-Label" &amp; $N$1</f>
        <v>'SaveInstanceButton-Label'</v>
      </c>
      <c r="E166" t="str">
        <f>$N$1 &amp; "Save Instance" &amp; $N$1</f>
        <v>'Save Instance'</v>
      </c>
      <c r="F166" t="str">
        <f t="shared" si="8"/>
        <v>insert into sysLocalizationText Values(1166,'1166','SaveInstanceButton-Label','Save Instance',getdate(),getdate(),1)</v>
      </c>
    </row>
    <row r="167" spans="1:6">
      <c r="A167">
        <v>1167</v>
      </c>
      <c r="B167" s="2">
        <v>1</v>
      </c>
      <c r="C167" t="str">
        <f t="shared" si="2"/>
        <v>'1167'</v>
      </c>
      <c r="D167" t="str">
        <f>$N$1 &amp; "SaveInstanceButton-Description" &amp; $N$1</f>
        <v>'SaveInstanceButton-Description'</v>
      </c>
      <c r="E167" t="str">
        <f>$N$1 &amp; "Click here to save Instance" &amp; $N$1</f>
        <v>'Click here to save Instance'</v>
      </c>
      <c r="F167" t="str">
        <f t="shared" si="8"/>
        <v>insert into sysLocalizationText Values(1167,'1167','SaveInstanceButton-Description','Click here to save Instance',getdate(),getdate(),1)</v>
      </c>
    </row>
    <row r="168" spans="1:6">
      <c r="A168">
        <v>1168</v>
      </c>
      <c r="B168" s="2">
        <v>1</v>
      </c>
      <c r="C168" t="str">
        <f t="shared" si="2"/>
        <v>'1168'</v>
      </c>
      <c r="D168" t="str">
        <f>$N$1 &amp; "DataLog-PageTitle" &amp; $N$1</f>
        <v>'DataLog-PageTitle'</v>
      </c>
      <c r="E168" t="str">
        <f>$N$1 &amp; "Data Log" &amp; $N$1</f>
        <v>'Data Log'</v>
      </c>
      <c r="F168" t="str">
        <f t="shared" si="8"/>
        <v>insert into sysLocalizationText Values(1168,'1168','DataLog-PageTitle','Data Log',getdate(),getdate(),1)</v>
      </c>
    </row>
    <row r="169" spans="1:6">
      <c r="A169">
        <v>1169</v>
      </c>
      <c r="B169" s="2">
        <v>1</v>
      </c>
      <c r="C169" t="str">
        <f t="shared" si="2"/>
        <v>'1169'</v>
      </c>
      <c r="D169" t="str">
        <f>$N$1 &amp; "SearchByOperationType-Label" &amp; $N$1</f>
        <v>'SearchByOperationType-Label'</v>
      </c>
      <c r="E169" t="str">
        <f>$N$1 &amp; "By Operation Type" &amp; $N$1</f>
        <v>'By Operation Type'</v>
      </c>
      <c r="F169" t="str">
        <f t="shared" si="8"/>
        <v>insert into sysLocalizationText Values(1169,'1169','SearchByOperationType-Label','By Operation Type',getdate(),getdate(),1)</v>
      </c>
    </row>
    <row r="170" spans="1:6">
      <c r="A170">
        <v>1170</v>
      </c>
      <c r="B170" s="2">
        <v>1</v>
      </c>
      <c r="C170" t="str">
        <f t="shared" ref="C170:C233" si="9">"'" &amp; A170 &amp; "'"</f>
        <v>'1170'</v>
      </c>
      <c r="D170" t="str">
        <f>$N$1 &amp; "SearchByObject-Label" &amp; $N$1</f>
        <v>'SearchByObject-Label'</v>
      </c>
      <c r="E170" t="str">
        <f>$N$1 &amp; "By Object" &amp; $N$1</f>
        <v>'By Object'</v>
      </c>
      <c r="F170" t="str">
        <f t="shared" si="8"/>
        <v>insert into sysLocalizationText Values(1170,'1170','SearchByObject-Label','By Object',getdate(),getdate(),1)</v>
      </c>
    </row>
    <row r="171" spans="1:6">
      <c r="A171">
        <v>1171</v>
      </c>
      <c r="B171" s="2">
        <v>1</v>
      </c>
      <c r="C171" t="str">
        <f t="shared" si="9"/>
        <v>'1171'</v>
      </c>
      <c r="D171" t="str">
        <f>$N$1 &amp; "SearchByIntervalDate-Label" &amp; $N$1</f>
        <v>'SearchByIntervalDate-Label'</v>
      </c>
      <c r="E171" t="str">
        <f>$N$1 &amp; "By Date Range" &amp; $N$1</f>
        <v>'By Date Range'</v>
      </c>
      <c r="F171" t="str">
        <f t="shared" si="8"/>
        <v>insert into sysLocalizationText Values(1171,'1171','SearchByIntervalDate-Label','By Date Range',getdate(),getdate(),1)</v>
      </c>
    </row>
    <row r="172" spans="1:6">
      <c r="A172">
        <v>1172</v>
      </c>
      <c r="B172" s="2">
        <v>1</v>
      </c>
      <c r="C172" t="str">
        <f t="shared" si="9"/>
        <v>'1172'</v>
      </c>
      <c r="D172" t="str">
        <f>$N$1 &amp; "SearchByInicialDate-Label" &amp; $N$1</f>
        <v>'SearchByInicialDate-Label'</v>
      </c>
      <c r="E172" t="str">
        <f>$N$1 &amp; "Start Date" &amp; $N$1</f>
        <v>'Start Date'</v>
      </c>
      <c r="F172" t="str">
        <f t="shared" si="8"/>
        <v>insert into sysLocalizationText Values(1172,'1172','SearchByInicialDate-Label','Start Date',getdate(),getdate(),1)</v>
      </c>
    </row>
    <row r="173" spans="1:6">
      <c r="A173">
        <v>1173</v>
      </c>
      <c r="B173" s="2">
        <v>1</v>
      </c>
      <c r="C173" t="str">
        <f t="shared" si="9"/>
        <v>'1173'</v>
      </c>
      <c r="D173" t="str">
        <f>$N$1 &amp; "SearchByFinalDate-Label" &amp; $N$1</f>
        <v>'SearchByFinalDate-Label'</v>
      </c>
      <c r="E173" t="str">
        <f>$N$1 &amp; "End Date" &amp; $N$1</f>
        <v>'End Date'</v>
      </c>
      <c r="F173" t="str">
        <f t="shared" si="8"/>
        <v>insert into sysLocalizationText Values(1173,'1173','SearchByFinalDate-Label','End Date',getdate(),getdate(),1)</v>
      </c>
    </row>
    <row r="174" spans="1:6">
      <c r="A174">
        <v>1174</v>
      </c>
      <c r="B174" s="2">
        <v>1</v>
      </c>
      <c r="C174" t="str">
        <f t="shared" si="9"/>
        <v>'1174'</v>
      </c>
      <c r="D174" t="str">
        <f>$N$1 &amp; "SearchByRecordID-Label" &amp; $N$1</f>
        <v>'SearchByRecordID-Label'</v>
      </c>
      <c r="E174" t="str">
        <f>$N$1 &amp; "Search Record ID" &amp; $N$1</f>
        <v>'Search Record ID'</v>
      </c>
      <c r="F174" t="str">
        <f t="shared" si="8"/>
        <v>insert into sysLocalizationText Values(1174,'1174','SearchByRecordID-Label','Search Record ID',getdate(),getdate(),1)</v>
      </c>
    </row>
    <row r="175" spans="1:6">
      <c r="A175">
        <v>1175</v>
      </c>
      <c r="B175" s="2">
        <v>1</v>
      </c>
      <c r="C175" t="str">
        <f t="shared" si="9"/>
        <v>'1175'</v>
      </c>
      <c r="D175" t="str">
        <f>$N$1 &amp; "TableName-Label" &amp; $N$1</f>
        <v>'TableName-Label'</v>
      </c>
      <c r="E175" t="str">
        <f>$N$1 &amp; "Table Name" &amp; $N$1</f>
        <v>'Table Name'</v>
      </c>
      <c r="F175" t="str">
        <f t="shared" si="8"/>
        <v>insert into sysLocalizationText Values(1175,'1175','TableName-Label','Table Name',getdate(),getdate(),1)</v>
      </c>
    </row>
    <row r="176" spans="1:6">
      <c r="A176">
        <v>1176</v>
      </c>
      <c r="B176" s="2">
        <v>1</v>
      </c>
      <c r="C176" t="str">
        <f t="shared" si="9"/>
        <v>'1176'</v>
      </c>
      <c r="D176" t="str">
        <f>$N$1 &amp; "OperationText-Label" &amp; $N$1</f>
        <v>'OperationText-Label'</v>
      </c>
      <c r="E176" t="str">
        <f>$N$1 &amp; "Operation Text" &amp; $N$1</f>
        <v>'Operation Text'</v>
      </c>
      <c r="F176" t="str">
        <f t="shared" si="8"/>
        <v>insert into sysLocalizationText Values(1176,'1176','OperationText-Label','Operation Text',getdate(),getdate(),1)</v>
      </c>
    </row>
    <row r="177" spans="1:6">
      <c r="A177">
        <v>1177</v>
      </c>
      <c r="B177" s="2">
        <v>1</v>
      </c>
      <c r="C177" t="str">
        <f t="shared" si="9"/>
        <v>'1177'</v>
      </c>
      <c r="D177" t="str">
        <f>$N$1 &amp; "LogID-Label" &amp; $N$1</f>
        <v>'LogID-Label'</v>
      </c>
      <c r="E177" t="str">
        <f>$N$1 &amp; "Log ID" &amp; $N$1</f>
        <v>'Log ID'</v>
      </c>
      <c r="F177" t="str">
        <f t="shared" si="8"/>
        <v>insert into sysLocalizationText Values(1177,'1177','LogID-Label','Log ID',getdate(),getdate(),1)</v>
      </c>
    </row>
    <row r="178" spans="1:6">
      <c r="A178">
        <v>1178</v>
      </c>
      <c r="B178" s="2">
        <v>1</v>
      </c>
      <c r="C178" t="str">
        <f t="shared" si="9"/>
        <v>'1178'</v>
      </c>
      <c r="D178" t="str">
        <f>$N$1 &amp; "LogInformation-Label" &amp; $N$1</f>
        <v>'LogInformation-Label'</v>
      </c>
      <c r="E178" t="str">
        <f>$N$1 &amp; "Log Information" &amp; $N$1</f>
        <v>'Log Information'</v>
      </c>
      <c r="F178" t="str">
        <f t="shared" si="8"/>
        <v>insert into sysLocalizationText Values(1178,'1178','LogInformation-Label','Log Information',getdate(),getdate(),1)</v>
      </c>
    </row>
    <row r="179" spans="1:6">
      <c r="A179">
        <v>1179</v>
      </c>
      <c r="B179" s="2">
        <v>1</v>
      </c>
      <c r="C179" t="str">
        <f t="shared" si="9"/>
        <v>'1179'</v>
      </c>
      <c r="D179" t="str">
        <f>$N$1 &amp; "ShowTimeLine-Label" &amp; $N$1</f>
        <v>'ShowTimeLine-Label'</v>
      </c>
      <c r="E179" t="str">
        <f>$N$1 &amp; "Show Time Line" &amp; $N$1</f>
        <v>'Show Time Line'</v>
      </c>
      <c r="F179" t="str">
        <f t="shared" si="8"/>
        <v>insert into sysLocalizationText Values(1179,'1179','ShowTimeLine-Label','Show Time Line',getdate(),getdate(),1)</v>
      </c>
    </row>
    <row r="180" spans="1:6">
      <c r="A180">
        <v>1180</v>
      </c>
      <c r="B180" s="2">
        <v>1</v>
      </c>
      <c r="C180" t="str">
        <f t="shared" si="9"/>
        <v>'1180'</v>
      </c>
      <c r="D180" t="str">
        <f>$N$1 &amp; "OldVersionData-Label" &amp; $N$1</f>
        <v>'OldVersionData-Label'</v>
      </c>
      <c r="E180" t="str">
        <f>$N$1 &amp; "Old Version" &amp; $N$1</f>
        <v>'Old Version'</v>
      </c>
      <c r="F180" t="str">
        <f t="shared" si="8"/>
        <v>insert into sysLocalizationText Values(1180,'1180','OldVersionData-Label','Old Version',getdate(),getdate(),1)</v>
      </c>
    </row>
    <row r="181" spans="1:6">
      <c r="A181">
        <v>1181</v>
      </c>
      <c r="B181" s="2">
        <v>1</v>
      </c>
      <c r="C181" t="str">
        <f t="shared" si="9"/>
        <v>'1181'</v>
      </c>
      <c r="D181" t="str">
        <f>$N$1 &amp; "HasNoOldVersion-Label" &amp; $N$1</f>
        <v>'HasNoOldVersion-Label'</v>
      </c>
      <c r="E181" t="str">
        <f>$N$1 &amp; "No data was found" &amp; $N$1</f>
        <v>'No data was found'</v>
      </c>
      <c r="F181" t="str">
        <f t="shared" si="8"/>
        <v>insert into sysLocalizationText Values(1181,'1181','HasNoOldVersion-Label','No data was found',getdate(),getdate(),1)</v>
      </c>
    </row>
    <row r="182" spans="1:6">
      <c r="A182">
        <v>1182</v>
      </c>
      <c r="B182" s="2">
        <v>1</v>
      </c>
      <c r="C182" t="str">
        <f t="shared" si="9"/>
        <v>'1182'</v>
      </c>
      <c r="D182" t="str">
        <f>$N$1 &amp; "CurrentVersionData-Label" &amp; $N$1</f>
        <v>'CurrentVersionData-Label'</v>
      </c>
      <c r="E182" t="str">
        <f>$N$1 &amp; "Current Version" &amp; $N$1</f>
        <v>'Current Version'</v>
      </c>
      <c r="F182" t="str">
        <f t="shared" si="8"/>
        <v>insert into sysLocalizationText Values(1182,'1182','CurrentVersionData-Label','Current Version',getdate(),getdate(),1)</v>
      </c>
    </row>
    <row r="183" spans="1:6">
      <c r="A183">
        <v>1183</v>
      </c>
      <c r="B183" s="2">
        <v>1</v>
      </c>
      <c r="C183" t="str">
        <f t="shared" si="9"/>
        <v>'1183'</v>
      </c>
      <c r="D183" t="str">
        <f>$N$1 &amp; "HasNoCurrentVersion-Label" &amp; $N$1</f>
        <v>'HasNoCurrentVersion-Label'</v>
      </c>
      <c r="E183" t="str">
        <f>$N$1 &amp; "No data was found" &amp; $N$1</f>
        <v>'No data was found'</v>
      </c>
      <c r="F183" t="str">
        <f t="shared" si="8"/>
        <v>insert into sysLocalizationText Values(1183,'1183','HasNoCurrentVersion-Label','No data was found',getdate(),getdate(),1)</v>
      </c>
    </row>
    <row r="184" spans="1:6">
      <c r="A184">
        <v>1184</v>
      </c>
      <c r="B184" s="2">
        <v>1</v>
      </c>
      <c r="C184" t="str">
        <f t="shared" si="9"/>
        <v>'1184'</v>
      </c>
      <c r="D184" t="str">
        <f>$N$1 &amp; "RecordTimeLine-Label" &amp; $N$1</f>
        <v>'RecordTimeLine-Label'</v>
      </c>
      <c r="E184" t="str">
        <f>$N$1 &amp; "Record Time Line" &amp; $N$1</f>
        <v>'Record Time Line'</v>
      </c>
      <c r="F184" t="str">
        <f t="shared" si="8"/>
        <v>insert into sysLocalizationText Values(1184,'1184','RecordTimeLine-Label','Record Time Line',getdate(),getdate(),1)</v>
      </c>
    </row>
    <row r="185" spans="1:6">
      <c r="A185">
        <v>1185</v>
      </c>
      <c r="B185" s="2">
        <v>1</v>
      </c>
      <c r="C185" t="str">
        <f t="shared" si="9"/>
        <v>'1185'</v>
      </c>
      <c r="D185" t="str">
        <f>$N$1 &amp; "HasNoTimeLine-Label" &amp; $N$1</f>
        <v>'HasNoTimeLine-Label'</v>
      </c>
      <c r="E185" t="str">
        <f>$N$1 &amp; "No data on time line" &amp; $N$1</f>
        <v>'No data on time line'</v>
      </c>
      <c r="F185" t="str">
        <f t="shared" si="8"/>
        <v>insert into sysLocalizationText Values(1185,'1185','HasNoTimeLine-Label','No data on time line',getdate(),getdate(),1)</v>
      </c>
    </row>
    <row r="186" spans="1:6">
      <c r="A186">
        <v>1186</v>
      </c>
      <c r="B186" s="2">
        <v>1</v>
      </c>
      <c r="C186" t="str">
        <f t="shared" si="9"/>
        <v>'1186'</v>
      </c>
      <c r="D186" t="str">
        <f>$N$1 &amp; "Localization-PageTitle" &amp; $N$1</f>
        <v>'Localization-PageTitle'</v>
      </c>
      <c r="E186" t="str">
        <f>$N$1 &amp; "Localization Text" &amp; $N$1</f>
        <v>'Localization Text'</v>
      </c>
      <c r="F186" t="str">
        <f t="shared" si="8"/>
        <v>insert into sysLocalizationText Values(1186,'1186','Localization-PageTitle','Localization Text',getdate(),getdate(),1)</v>
      </c>
    </row>
    <row r="187" spans="1:6">
      <c r="A187">
        <v>1187</v>
      </c>
      <c r="B187" s="2">
        <v>1</v>
      </c>
      <c r="C187" t="str">
        <f t="shared" si="9"/>
        <v>'1187'</v>
      </c>
      <c r="D187" t="str">
        <f>$N$1 &amp; "SearchByLanguage-Label" &amp; $N$1</f>
        <v>'SearchByLanguage-Label'</v>
      </c>
      <c r="E187" t="str">
        <f>$N$1 &amp; "By Language" &amp; $N$1</f>
        <v>'By Language'</v>
      </c>
      <c r="F187" t="str">
        <f t="shared" si="8"/>
        <v>insert into sysLocalizationText Values(1187,'1187','SearchByLanguage-Label','By Language',getdate(),getdate(),1)</v>
      </c>
    </row>
    <row r="188" spans="1:6">
      <c r="A188">
        <v>1188</v>
      </c>
      <c r="B188" s="2">
        <v>1</v>
      </c>
      <c r="C188" t="str">
        <f t="shared" si="9"/>
        <v>'1188'</v>
      </c>
      <c r="D188" t="str">
        <f>$N$1 &amp; "SearchByLanguage-Description" &amp; $N$1</f>
        <v>'SearchByLanguage-Description'</v>
      </c>
      <c r="E188" t="str">
        <f>$N$1 &amp; "Search by Language" &amp; $N$1</f>
        <v>'Search by Language'</v>
      </c>
      <c r="F188" t="str">
        <f t="shared" si="8"/>
        <v>insert into sysLocalizationText Values(1188,'1188','SearchByLanguage-Description','Search by Language',getdate(),getdate(),1)</v>
      </c>
    </row>
    <row r="189" spans="1:6">
      <c r="A189">
        <v>1189</v>
      </c>
      <c r="B189" s="2">
        <v>1</v>
      </c>
      <c r="C189" t="str">
        <f t="shared" si="9"/>
        <v>'1189'</v>
      </c>
      <c r="D189" t="str">
        <f>$N$1 &amp; "SearchByLocalizationCode-Label" &amp; $N$1</f>
        <v>'SearchByLocalizationCode-Label'</v>
      </c>
      <c r="E189" t="str">
        <f>$N$1 &amp; "By Localization Code" &amp; $N$1</f>
        <v>'By Localization Code'</v>
      </c>
      <c r="F189" t="str">
        <f t="shared" si="8"/>
        <v>insert into sysLocalizationText Values(1189,'1189','SearchByLocalizationCode-Label','By Localization Code',getdate(),getdate(),1)</v>
      </c>
    </row>
    <row r="190" spans="1:6">
      <c r="A190">
        <v>1190</v>
      </c>
      <c r="B190" s="2">
        <v>1</v>
      </c>
      <c r="C190" t="str">
        <f t="shared" si="9"/>
        <v>'1190'</v>
      </c>
      <c r="D190" t="str">
        <f>$N$1 &amp; "SearchByLocalizationCode-Description" &amp; $N$1</f>
        <v>'SearchByLocalizationCode-Description'</v>
      </c>
      <c r="E190" t="str">
        <f>$N$1 &amp; "Search by Localization Code" &amp; $N$1</f>
        <v>'Search by Localization Code'</v>
      </c>
      <c r="F190" t="str">
        <f t="shared" si="8"/>
        <v>insert into sysLocalizationText Values(1190,'1190','SearchByLocalizationCode-Description','Search by Localization Code',getdate(),getdate(),1)</v>
      </c>
    </row>
    <row r="191" spans="1:6">
      <c r="A191">
        <v>1191</v>
      </c>
      <c r="B191" s="2">
        <v>1</v>
      </c>
      <c r="C191" t="str">
        <f t="shared" si="9"/>
        <v>'1191'</v>
      </c>
      <c r="D191" t="str">
        <f>$N$1 &amp; "SearchByLocalizationName-Label" &amp; $N$1</f>
        <v>'SearchByLocalizationName-Label'</v>
      </c>
      <c r="E191" t="str">
        <f>$N$1 &amp; "By Localization Name" &amp; $N$1</f>
        <v>'By Localization Name'</v>
      </c>
      <c r="F191" t="str">
        <f t="shared" si="8"/>
        <v>insert into sysLocalizationText Values(1191,'1191','SearchByLocalizationName-Label','By Localization Name',getdate(),getdate(),1)</v>
      </c>
    </row>
    <row r="192" spans="1:6">
      <c r="A192">
        <v>1192</v>
      </c>
      <c r="B192" s="2">
        <v>1</v>
      </c>
      <c r="C192" t="str">
        <f t="shared" si="9"/>
        <v>'1192'</v>
      </c>
      <c r="D192" t="str">
        <f>$N$1 &amp; "SearchByLocalizationName-Description" &amp; $N$1</f>
        <v>'SearchByLocalizationName-Description'</v>
      </c>
      <c r="E192" t="str">
        <f>$N$1 &amp; "Search by Localization Name" &amp; $N$1</f>
        <v>'Search by Localization Name'</v>
      </c>
      <c r="F192" t="str">
        <f t="shared" si="8"/>
        <v>insert into sysLocalizationText Values(1192,'1192','SearchByLocalizationName-Description','Search by Localization Name',getdate(),getdate(),1)</v>
      </c>
    </row>
    <row r="193" spans="1:6">
      <c r="A193">
        <v>1193</v>
      </c>
      <c r="B193" s="2">
        <v>1</v>
      </c>
      <c r="C193" t="str">
        <f t="shared" si="9"/>
        <v>'1193'</v>
      </c>
      <c r="D193" t="str">
        <f>$N$1 &amp; "SearchByLocalizationText-Label" &amp; $N$1</f>
        <v>'SearchByLocalizationText-Label'</v>
      </c>
      <c r="E193" t="str">
        <f>$N$1 &amp; "By Localization Text" &amp; $N$1</f>
        <v>'By Localization Text'</v>
      </c>
      <c r="F193" t="str">
        <f t="shared" si="8"/>
        <v>insert into sysLocalizationText Values(1193,'1193','SearchByLocalizationText-Label','By Localization Text',getdate(),getdate(),1)</v>
      </c>
    </row>
    <row r="194" spans="1:6">
      <c r="A194">
        <v>1194</v>
      </c>
      <c r="B194" s="2">
        <v>1</v>
      </c>
      <c r="C194" t="str">
        <f t="shared" si="9"/>
        <v>'1194'</v>
      </c>
      <c r="D194" t="str">
        <f>$N$1 &amp; "SearchByLocalizationText-Description" &amp; $N$1</f>
        <v>'SearchByLocalizationText-Description'</v>
      </c>
      <c r="E194" t="str">
        <f>$N$1 &amp; "Search by Localization Text" &amp; $N$1</f>
        <v>'Search by Localization Text'</v>
      </c>
      <c r="F194" t="str">
        <f t="shared" ref="F194:F257" si="10">"insert into sysLocalizationText Values(" &amp;A194 &amp; "," &amp;C194 &amp; "," &amp; D194 &amp; "," &amp; E194 &amp; ",getdate(),getdate()," &amp; B194 &amp; ")"</f>
        <v>insert into sysLocalizationText Values(1194,'1194','SearchByLocalizationText-Description','Search by Localization Text',getdate(),getdate(),1)</v>
      </c>
    </row>
    <row r="195" spans="1:6">
      <c r="A195">
        <v>1195</v>
      </c>
      <c r="B195" s="2">
        <v>1</v>
      </c>
      <c r="C195" t="str">
        <f t="shared" si="9"/>
        <v>'1195'</v>
      </c>
      <c r="D195" t="str">
        <f>$N$1 &amp; "Language-Label" &amp; $N$1</f>
        <v>'Language-Label'</v>
      </c>
      <c r="E195" t="str">
        <f>$N$1 &amp; "Language" &amp; $N$1</f>
        <v>'Language'</v>
      </c>
      <c r="F195" t="str">
        <f t="shared" si="10"/>
        <v>insert into sysLocalizationText Values(1195,'1195','Language-Label','Language',getdate(),getdate(),1)</v>
      </c>
    </row>
    <row r="196" spans="1:6">
      <c r="A196">
        <v>1196</v>
      </c>
      <c r="B196" s="2">
        <v>1</v>
      </c>
      <c r="C196" t="str">
        <f t="shared" si="9"/>
        <v>'1196'</v>
      </c>
      <c r="D196" t="str">
        <f>$N$1 &amp; "LocalizationCode-Label" &amp; $N$1</f>
        <v>'LocalizationCode-Label'</v>
      </c>
      <c r="E196" t="str">
        <f>$N$1 &amp; "Localization Code" &amp; $N$1</f>
        <v>'Localization Code'</v>
      </c>
      <c r="F196" t="str">
        <f t="shared" si="10"/>
        <v>insert into sysLocalizationText Values(1196,'1196','LocalizationCode-Label','Localization Code',getdate(),getdate(),1)</v>
      </c>
    </row>
    <row r="197" spans="1:6">
      <c r="A197">
        <v>1197</v>
      </c>
      <c r="B197" s="2">
        <v>1</v>
      </c>
      <c r="C197" t="str">
        <f t="shared" si="9"/>
        <v>'1197'</v>
      </c>
      <c r="D197" t="str">
        <f>$N$1 &amp; "LocalizationName-Label" &amp; $N$1</f>
        <v>'LocalizationName-Label'</v>
      </c>
      <c r="E197" t="str">
        <f>$N$1 &amp; "Localization Name" &amp; $N$1</f>
        <v>'Localization Name'</v>
      </c>
      <c r="F197" t="str">
        <f t="shared" si="10"/>
        <v>insert into sysLocalizationText Values(1197,'1197','LocalizationName-Label','Localization Name',getdate(),getdate(),1)</v>
      </c>
    </row>
    <row r="198" spans="1:6">
      <c r="A198">
        <v>1198</v>
      </c>
      <c r="B198" s="2">
        <v>1</v>
      </c>
      <c r="C198" t="str">
        <f t="shared" si="9"/>
        <v>'1198'</v>
      </c>
      <c r="D198" t="str">
        <f>$N$1 &amp; "LocalizationRecord-Label" &amp; $N$1</f>
        <v>'LocalizationRecord-Label'</v>
      </c>
      <c r="E198" t="str">
        <f>$N$1 &amp; "Localization Text Record" &amp; $N$1</f>
        <v>'Localization Text Record'</v>
      </c>
      <c r="F198" t="str">
        <f t="shared" si="10"/>
        <v>insert into sysLocalizationText Values(1198,'1198','LocalizationRecord-Label','Localization Text Record',getdate(),getdate(),1)</v>
      </c>
    </row>
    <row r="199" spans="1:6">
      <c r="A199">
        <v>1199</v>
      </c>
      <c r="B199" s="2">
        <v>1</v>
      </c>
      <c r="C199" t="str">
        <f t="shared" si="9"/>
        <v>'1199'</v>
      </c>
      <c r="D199" t="str">
        <f>$N$1 &amp; "LocalizationText-Label" &amp; $N$1</f>
        <v>'LocalizationText-Label'</v>
      </c>
      <c r="E199" t="str">
        <f>$N$1 &amp; "Localization Text" &amp; $N$1</f>
        <v>'Localization Text'</v>
      </c>
      <c r="F199" t="str">
        <f t="shared" si="10"/>
        <v>insert into sysLocalizationText Values(1199,'1199','LocalizationText-Label','Localization Text',getdate(),getdate(),1)</v>
      </c>
    </row>
    <row r="200" spans="1:6">
      <c r="A200">
        <v>1200</v>
      </c>
      <c r="B200" s="2">
        <v>1</v>
      </c>
      <c r="C200" t="str">
        <f t="shared" si="9"/>
        <v>'1200'</v>
      </c>
      <c r="D200" t="str">
        <f>$N$1 &amp; "SaveLocalizationButton-Label" &amp; $N$1</f>
        <v>'SaveLocalizationButton-Label'</v>
      </c>
      <c r="E200" t="str">
        <f>$N$1 &amp; "Save Localization" &amp; $N$1</f>
        <v>'Save Localization'</v>
      </c>
      <c r="F200" t="str">
        <f t="shared" si="10"/>
        <v>insert into sysLocalizationText Values(1200,'1200','SaveLocalizationButton-Label','Save Localization',getdate(),getdate(),1)</v>
      </c>
    </row>
    <row r="201" spans="1:6">
      <c r="A201">
        <v>1201</v>
      </c>
      <c r="B201" s="2">
        <v>1</v>
      </c>
      <c r="C201" t="str">
        <f t="shared" si="9"/>
        <v>'1201'</v>
      </c>
      <c r="D201" t="str">
        <f>$N$1 &amp; "SaveLocalizationButton-Description" &amp; $N$1</f>
        <v>'SaveLocalizationButton-Description'</v>
      </c>
      <c r="E201" t="str">
        <f>$N$1 &amp; "Click here to save localization" &amp; $N$1</f>
        <v>'Click here to save localization'</v>
      </c>
      <c r="F201" t="str">
        <f t="shared" si="10"/>
        <v>insert into sysLocalizationText Values(1201,'1201','SaveLocalizationButton-Description','Click here to save localization',getdate(),getdate(),1)</v>
      </c>
    </row>
    <row r="202" spans="1:6">
      <c r="A202">
        <v>1202</v>
      </c>
      <c r="B202" s="2">
        <v>1</v>
      </c>
      <c r="C202" t="str">
        <f t="shared" si="9"/>
        <v>'1202'</v>
      </c>
      <c r="D202" t="str">
        <f>$N$1 &amp; "NewLocalization-Label" &amp; $N$1</f>
        <v>'NewLocalization-Label'</v>
      </c>
      <c r="E202" t="str">
        <f>$N$1 &amp; "New Localization" &amp; $N$1</f>
        <v>'New Localization'</v>
      </c>
      <c r="F202" t="str">
        <f t="shared" si="10"/>
        <v>insert into sysLocalizationText Values(1202,'1202','NewLocalization-Label','New Localization',getdate(),getdate(),1)</v>
      </c>
    </row>
    <row r="203" spans="1:6">
      <c r="A203">
        <v>1203</v>
      </c>
      <c r="B203" s="2">
        <v>1</v>
      </c>
      <c r="C203" t="str">
        <f t="shared" si="9"/>
        <v>'1203'</v>
      </c>
      <c r="D203" t="str">
        <f>$N$1 &amp; "ObjectPermission-PageTitle" &amp; $N$1</f>
        <v>'ObjectPermission-PageTitle'</v>
      </c>
      <c r="E203" t="str">
        <f>$N$1 &amp; "Object Permission" &amp; $N$1</f>
        <v>'Object Permission'</v>
      </c>
      <c r="F203" t="str">
        <f t="shared" si="10"/>
        <v>insert into sysLocalizationText Values(1203,'1203','ObjectPermission-PageTitle','Object Permission',getdate(),getdate(),1)</v>
      </c>
    </row>
    <row r="204" spans="1:6">
      <c r="A204">
        <v>1204</v>
      </c>
      <c r="B204" s="2">
        <v>1</v>
      </c>
      <c r="C204" t="str">
        <f t="shared" si="9"/>
        <v>'1204'</v>
      </c>
      <c r="D204" t="str">
        <f>$N$1 &amp; "SearchByObjectName-Label" &amp; $N$1</f>
        <v>'SearchByObjectName-Label'</v>
      </c>
      <c r="E204" t="str">
        <f>$N$1 &amp; "By Object Name" &amp; $N$1</f>
        <v>'By Object Name'</v>
      </c>
      <c r="F204" t="str">
        <f t="shared" si="10"/>
        <v>insert into sysLocalizationText Values(1204,'1204','SearchByObjectName-Label','By Object Name',getdate(),getdate(),1)</v>
      </c>
    </row>
    <row r="205" spans="1:6">
      <c r="A205">
        <v>1205</v>
      </c>
      <c r="B205" s="2">
        <v>1</v>
      </c>
      <c r="C205" t="str">
        <f t="shared" si="9"/>
        <v>'1205'</v>
      </c>
      <c r="D205" t="str">
        <f>$N$1 &amp; "SearchByObjectName-Description" &amp; $N$1</f>
        <v>'SearchByObjectName-Description'</v>
      </c>
      <c r="E205" t="str">
        <f>$N$1 &amp; "Search by Object Name" &amp; $N$1</f>
        <v>'Search by Object Name'</v>
      </c>
      <c r="F205" t="str">
        <f t="shared" si="10"/>
        <v>insert into sysLocalizationText Values(1205,'1205','SearchByObjectName-Description','Search by Object Name',getdate(),getdate(),1)</v>
      </c>
    </row>
    <row r="206" spans="1:6">
      <c r="A206">
        <v>1206</v>
      </c>
      <c r="B206" s="2">
        <v>1</v>
      </c>
      <c r="C206" t="str">
        <f t="shared" si="9"/>
        <v>'1206'</v>
      </c>
      <c r="D206" t="str">
        <f>$N$1 &amp; "SearchByObjectCode-Label" &amp; $N$1</f>
        <v>'SearchByObjectCode-Label'</v>
      </c>
      <c r="E206" t="str">
        <f>$N$1 &amp; "By Object Code" &amp; $N$1</f>
        <v>'By Object Code'</v>
      </c>
      <c r="F206" t="str">
        <f t="shared" si="10"/>
        <v>insert into sysLocalizationText Values(1206,'1206','SearchByObjectCode-Label','By Object Code',getdate(),getdate(),1)</v>
      </c>
    </row>
    <row r="207" spans="1:6">
      <c r="A207">
        <v>1207</v>
      </c>
      <c r="B207" s="2">
        <v>1</v>
      </c>
      <c r="C207" t="str">
        <f t="shared" si="9"/>
        <v>'1207'</v>
      </c>
      <c r="D207" t="str">
        <f>$N$1 &amp; "SearchByObjectCode-Description" &amp; $N$1</f>
        <v>'SearchByObjectCode-Description'</v>
      </c>
      <c r="E207" t="str">
        <f>$N$1 &amp; "Search by Object Code" &amp; $N$1</f>
        <v>'Search by Object Code'</v>
      </c>
      <c r="F207" t="str">
        <f t="shared" si="10"/>
        <v>insert into sysLocalizationText Values(1207,'1207','SearchByObjectCode-Description','Search by Object Code',getdate(),getdate(),1)</v>
      </c>
    </row>
    <row r="208" spans="1:6">
      <c r="A208">
        <v>1208</v>
      </c>
      <c r="B208" s="2">
        <v>1</v>
      </c>
      <c r="C208" t="str">
        <f t="shared" si="9"/>
        <v>'1208'</v>
      </c>
      <c r="D208" t="str">
        <f>$N$1 &amp; "NewObject-Label" &amp; $N$1</f>
        <v>'NewObject-Label'</v>
      </c>
      <c r="E208" t="str">
        <f>$N$1 &amp; "New Object" &amp; $N$1</f>
        <v>'New Object'</v>
      </c>
      <c r="F208" t="str">
        <f t="shared" si="10"/>
        <v>insert into sysLocalizationText Values(1208,'1208','NewObject-Label','New Object',getdate(),getdate(),1)</v>
      </c>
    </row>
    <row r="209" spans="1:6">
      <c r="A209">
        <v>1209</v>
      </c>
      <c r="B209" s="2">
        <v>1</v>
      </c>
      <c r="C209" t="str">
        <f t="shared" si="9"/>
        <v>'1209'</v>
      </c>
      <c r="D209" t="str">
        <f>$N$1 &amp; "ObjectName-Label" &amp; $N$1</f>
        <v>'ObjectName-Label'</v>
      </c>
      <c r="E209" t="str">
        <f>$N$1 &amp; "Object Name" &amp; $N$1</f>
        <v>'Object Name'</v>
      </c>
      <c r="F209" t="str">
        <f t="shared" si="10"/>
        <v>insert into sysLocalizationText Values(1209,'1209','ObjectName-Label','Object Name',getdate(),getdate(),1)</v>
      </c>
    </row>
    <row r="210" spans="1:6">
      <c r="A210">
        <v>1210</v>
      </c>
      <c r="B210" s="2">
        <v>1</v>
      </c>
      <c r="C210" t="str">
        <f t="shared" si="9"/>
        <v>'1210'</v>
      </c>
      <c r="D210" t="str">
        <f>$N$1 &amp; "ObjectCode-Label" &amp; $N$1</f>
        <v>'ObjectCode-Label'</v>
      </c>
      <c r="E210" t="str">
        <f>$N$1 &amp; "Object Code" &amp; $N$1</f>
        <v>'Object Code'</v>
      </c>
      <c r="F210" t="str">
        <f t="shared" si="10"/>
        <v>insert into sysLocalizationText Values(1210,'1210','ObjectCode-Label','Object Code',getdate(),getdate(),1)</v>
      </c>
    </row>
    <row r="211" spans="1:6">
      <c r="A211">
        <v>1211</v>
      </c>
      <c r="B211" s="2">
        <v>1</v>
      </c>
      <c r="C211" t="str">
        <f t="shared" si="9"/>
        <v>'1211'</v>
      </c>
      <c r="D211" t="str">
        <f>$N$1 &amp; "ObjectPermissionRecord-Label" &amp; $N$1</f>
        <v>'ObjectPermissionRecord-Label'</v>
      </c>
      <c r="E211" t="str">
        <f>$N$1 &amp; "Object Permission Record" &amp; $N$1</f>
        <v>'Object Permission Record'</v>
      </c>
      <c r="F211" t="str">
        <f t="shared" si="10"/>
        <v>insert into sysLocalizationText Values(1211,'1211','ObjectPermissionRecord-Label','Object Permission Record',getdate(),getdate(),1)</v>
      </c>
    </row>
    <row r="212" spans="1:6">
      <c r="A212">
        <v>1212</v>
      </c>
      <c r="B212" s="2">
        <v>1</v>
      </c>
      <c r="C212" t="str">
        <f t="shared" si="9"/>
        <v>'1212'</v>
      </c>
      <c r="D212" t="str">
        <f>$N$1 &amp; "SaveObjectPermissionButton-Label" &amp; $N$1</f>
        <v>'SaveObjectPermissionButton-Label'</v>
      </c>
      <c r="E212" t="str">
        <f>$N$1 &amp; "Save Object Permission" &amp; $N$1</f>
        <v>'Save Object Permission'</v>
      </c>
      <c r="F212" t="str">
        <f t="shared" si="10"/>
        <v>insert into sysLocalizationText Values(1212,'1212','SaveObjectPermissionButton-Label','Save Object Permission',getdate(),getdate(),1)</v>
      </c>
    </row>
    <row r="213" spans="1:6">
      <c r="A213">
        <v>1213</v>
      </c>
      <c r="B213" s="2">
        <v>1</v>
      </c>
      <c r="C213" t="str">
        <f t="shared" si="9"/>
        <v>'1213'</v>
      </c>
      <c r="D213" t="str">
        <f>$N$1 &amp; "SaveObjectPermissionButton-Description" &amp; $N$1</f>
        <v>'SaveObjectPermissionButton-Description'</v>
      </c>
      <c r="E213" t="str">
        <f>$N$1 &amp; "Click here to save Object Permission" &amp; $N$1</f>
        <v>'Click here to save Object Permission'</v>
      </c>
      <c r="F213" t="str">
        <f t="shared" si="10"/>
        <v>insert into sysLocalizationText Values(1213,'1213','SaveObjectPermissionButton-Description','Click here to save Object Permission',getdate(),getdate(),1)</v>
      </c>
    </row>
    <row r="214" spans="1:6">
      <c r="A214">
        <v>1214</v>
      </c>
      <c r="B214" s="2">
        <v>1</v>
      </c>
      <c r="C214" t="str">
        <f t="shared" si="9"/>
        <v>'1214'</v>
      </c>
      <c r="D214" t="str">
        <f>$N$1 &amp; "Permission-PageTitle" &amp; $N$1</f>
        <v>'Permission-PageTitle'</v>
      </c>
      <c r="E214" t="str">
        <f>$N$1 &amp; "Permission" &amp; $N$1</f>
        <v>'Permission'</v>
      </c>
      <c r="F214" t="str">
        <f t="shared" si="10"/>
        <v>insert into sysLocalizationText Values(1214,'1214','Permission-PageTitle','Permission',getdate(),getdate(),1)</v>
      </c>
    </row>
    <row r="215" spans="1:6">
      <c r="A215">
        <v>1215</v>
      </c>
      <c r="B215" s="2">
        <v>1</v>
      </c>
      <c r="C215" t="str">
        <f t="shared" si="9"/>
        <v>'1215'</v>
      </c>
      <c r="D215" t="str">
        <f>$N$1 &amp; "SearchByObjectPermission-Label" &amp; $N$1</f>
        <v>'SearchByObjectPermission-Label'</v>
      </c>
      <c r="E215" t="str">
        <f>$N$1 &amp; "By Object Permission" &amp; $N$1</f>
        <v>'By Object Permission'</v>
      </c>
      <c r="F215" t="str">
        <f t="shared" si="10"/>
        <v>insert into sysLocalizationText Values(1215,'1215','SearchByObjectPermission-Label','By Object Permission',getdate(),getdate(),1)</v>
      </c>
    </row>
    <row r="216" spans="1:6">
      <c r="A216">
        <v>1216</v>
      </c>
      <c r="B216" s="2">
        <v>1</v>
      </c>
      <c r="C216" t="str">
        <f t="shared" si="9"/>
        <v>'1216'</v>
      </c>
      <c r="D216" t="str">
        <f>$N$1 &amp; "SearchByRole-Label" &amp; $N$1</f>
        <v>'SearchByRole-Label'</v>
      </c>
      <c r="E216" t="str">
        <f>$N$1 &amp; "By Role" &amp; $N$1</f>
        <v>'By Role'</v>
      </c>
      <c r="F216" t="str">
        <f t="shared" si="10"/>
        <v>insert into sysLocalizationText Values(1216,'1216','SearchByRole-Label','By Role',getdate(),getdate(),1)</v>
      </c>
    </row>
    <row r="217" spans="1:6">
      <c r="A217">
        <v>1217</v>
      </c>
      <c r="B217" s="2">
        <v>1</v>
      </c>
      <c r="C217" t="str">
        <f t="shared" si="9"/>
        <v>'1217'</v>
      </c>
      <c r="D217" t="str">
        <f>$N$1 &amp; "SearchByUser-Label" &amp; $N$1</f>
        <v>'SearchByUser-Label'</v>
      </c>
      <c r="E217" t="str">
        <f>$N$1 &amp; "By User" &amp; $N$1</f>
        <v>'By User'</v>
      </c>
      <c r="F217" t="str">
        <f t="shared" si="10"/>
        <v>insert into sysLocalizationText Values(1217,'1217','SearchByUser-Label','By User',getdate(),getdate(),1)</v>
      </c>
    </row>
    <row r="218" spans="1:6">
      <c r="A218">
        <v>1218</v>
      </c>
      <c r="B218" s="2">
        <v>1</v>
      </c>
      <c r="C218" t="str">
        <f t="shared" si="9"/>
        <v>'1218'</v>
      </c>
      <c r="D218" t="str">
        <f>$N$1 &amp; "NewPermission-Label" &amp; $N$1</f>
        <v>'NewPermission-Label'</v>
      </c>
      <c r="E218" t="str">
        <f>$N$1 &amp; "New Permission" &amp; $N$1</f>
        <v>'New Permission'</v>
      </c>
      <c r="F218" t="str">
        <f t="shared" si="10"/>
        <v>insert into sysLocalizationText Values(1218,'1218','NewPermission-Label','New Permission',getdate(),getdate(),1)</v>
      </c>
    </row>
    <row r="219" spans="1:6">
      <c r="A219">
        <v>1219</v>
      </c>
      <c r="B219" s="2">
        <v>1</v>
      </c>
      <c r="C219" t="str">
        <f t="shared" si="9"/>
        <v>'1219'</v>
      </c>
      <c r="D219" t="str">
        <f>$N$1 &amp; "NewPermission-Description" &amp; $N$1</f>
        <v>'NewPermission-Description'</v>
      </c>
      <c r="E219" t="str">
        <f>$N$1 &amp; "Click here to create new permission" &amp; $N$1</f>
        <v>'Click here to create new permission'</v>
      </c>
      <c r="F219" t="str">
        <f t="shared" si="10"/>
        <v>insert into sysLocalizationText Values(1219,'1219','NewPermission-Description','Click here to create new permission',getdate(),getdate(),1)</v>
      </c>
    </row>
    <row r="220" spans="1:6">
      <c r="A220">
        <v>1220</v>
      </c>
      <c r="B220" s="2">
        <v>1</v>
      </c>
      <c r="C220" t="str">
        <f t="shared" si="9"/>
        <v>'1220'</v>
      </c>
      <c r="D220" t="str">
        <f>$N$1 &amp; "ObjectName-Label" &amp; $N$1</f>
        <v>'ObjectName-Label'</v>
      </c>
      <c r="E220" t="str">
        <f>$N$1 &amp; "Object Name" &amp; $N$1</f>
        <v>'Object Name'</v>
      </c>
      <c r="F220" t="str">
        <f t="shared" si="10"/>
        <v>insert into sysLocalizationText Values(1220,'1220','ObjectName-Label','Object Name',getdate(),getdate(),1)</v>
      </c>
    </row>
    <row r="221" spans="1:6">
      <c r="A221">
        <v>1221</v>
      </c>
      <c r="B221" s="2">
        <v>1</v>
      </c>
      <c r="C221" t="str">
        <f t="shared" si="9"/>
        <v>'1221'</v>
      </c>
      <c r="D221" t="str">
        <f>$N$1 &amp; "RoleName-Label" &amp; $N$1</f>
        <v>'RoleName-Label'</v>
      </c>
      <c r="E221" t="str">
        <f>$N$1 &amp; "Role Name" &amp; $N$1</f>
        <v>'Role Name'</v>
      </c>
      <c r="F221" t="str">
        <f t="shared" si="10"/>
        <v>insert into sysLocalizationText Values(1221,'1221','RoleName-Label','Role Name',getdate(),getdate(),1)</v>
      </c>
    </row>
    <row r="222" spans="1:6">
      <c r="A222">
        <v>1222</v>
      </c>
      <c r="B222" s="2">
        <v>1</v>
      </c>
      <c r="C222" t="str">
        <f t="shared" si="9"/>
        <v>'1222'</v>
      </c>
      <c r="D222" t="str">
        <f>$N$1 &amp; "PermissionRecord-Label" &amp; $N$1</f>
        <v>'PermissionRecord-Label'</v>
      </c>
      <c r="E222" t="str">
        <f>$N$1 &amp; "Permission Record" &amp; $N$1</f>
        <v>'Permission Record'</v>
      </c>
      <c r="F222" t="str">
        <f t="shared" si="10"/>
        <v>insert into sysLocalizationText Values(1222,'1222','PermissionRecord-Label','Permission Record',getdate(),getdate(),1)</v>
      </c>
    </row>
    <row r="223" spans="1:6">
      <c r="A223">
        <v>1223</v>
      </c>
      <c r="B223" s="2">
        <v>1</v>
      </c>
      <c r="C223" t="str">
        <f t="shared" si="9"/>
        <v>'1223'</v>
      </c>
      <c r="D223" t="str">
        <f>$N$1 &amp; "PermissionType-Label" &amp; $N$1</f>
        <v>'PermissionType-Label'</v>
      </c>
      <c r="E223" t="str">
        <f>$N$1 &amp; "Permission Type" &amp; $N$1</f>
        <v>'Permission Type'</v>
      </c>
      <c r="F223" t="str">
        <f t="shared" si="10"/>
        <v>insert into sysLocalizationText Values(1223,'1223','PermissionType-Label','Permission Type',getdate(),getdate(),1)</v>
      </c>
    </row>
    <row r="224" spans="1:6">
      <c r="A224">
        <v>1224</v>
      </c>
      <c r="B224" s="2">
        <v>1</v>
      </c>
      <c r="C224" t="str">
        <f t="shared" si="9"/>
        <v>'1224'</v>
      </c>
      <c r="D224" t="str">
        <f>$N$1 &amp; "ReadStatus-Label" &amp; $N$1</f>
        <v>'ReadStatus-Label'</v>
      </c>
      <c r="E224" t="str">
        <f>$N$1 &amp; "Read Status" &amp; $N$1</f>
        <v>'Read Status'</v>
      </c>
      <c r="F224" t="str">
        <f t="shared" si="10"/>
        <v>insert into sysLocalizationText Values(1224,'1224','ReadStatus-Label','Read Status',getdate(),getdate(),1)</v>
      </c>
    </row>
    <row r="225" spans="1:6">
      <c r="A225">
        <v>1225</v>
      </c>
      <c r="B225" s="2">
        <v>1</v>
      </c>
      <c r="C225" t="str">
        <f t="shared" si="9"/>
        <v>'1225'</v>
      </c>
      <c r="D225" t="str">
        <f>$N$1 &amp; "SaveStatus-Label" &amp; $N$1</f>
        <v>'SaveStatus-Label'</v>
      </c>
      <c r="E225" t="str">
        <f>$N$1 &amp; "Save Status" &amp; $N$1</f>
        <v>'Save Status'</v>
      </c>
      <c r="F225" t="str">
        <f t="shared" si="10"/>
        <v>insert into sysLocalizationText Values(1225,'1225','SaveStatus-Label','Save Status',getdate(),getdate(),1)</v>
      </c>
    </row>
    <row r="226" spans="1:6">
      <c r="A226">
        <v>1226</v>
      </c>
      <c r="B226" s="2">
        <v>1</v>
      </c>
      <c r="C226" t="str">
        <f t="shared" si="9"/>
        <v>'1226'</v>
      </c>
      <c r="D226" t="str">
        <f>$N$1 &amp; "DeleteStatus-Label" &amp; $N$1</f>
        <v>'DeleteStatus-Label'</v>
      </c>
      <c r="E226" t="str">
        <f>$N$1 &amp; "Delete Status" &amp; $N$1</f>
        <v>'Delete Status'</v>
      </c>
      <c r="F226" t="str">
        <f t="shared" si="10"/>
        <v>insert into sysLocalizationText Values(1226,'1226','DeleteStatus-Label','Delete Status',getdate(),getdate(),1)</v>
      </c>
    </row>
    <row r="227" spans="1:6">
      <c r="A227">
        <v>1227</v>
      </c>
      <c r="B227" s="2">
        <v>1</v>
      </c>
      <c r="C227" t="str">
        <f t="shared" si="9"/>
        <v>'1227'</v>
      </c>
      <c r="D227" t="str">
        <f>$N$1 &amp; "SavePermissionButton-Label" &amp; $N$1</f>
        <v>'SavePermissionButton-Label'</v>
      </c>
      <c r="E227" t="str">
        <f>$N$1 &amp; "Save Permission" &amp; $N$1</f>
        <v>'Save Permission'</v>
      </c>
      <c r="F227" t="str">
        <f t="shared" si="10"/>
        <v>insert into sysLocalizationText Values(1227,'1227','SavePermissionButton-Label','Save Permission',getdate(),getdate(),1)</v>
      </c>
    </row>
    <row r="228" spans="1:6">
      <c r="A228">
        <v>1228</v>
      </c>
      <c r="B228" s="2">
        <v>1</v>
      </c>
      <c r="C228" t="str">
        <f t="shared" si="9"/>
        <v>'1228'</v>
      </c>
      <c r="D228" t="str">
        <f>$N$1 &amp; "SavePermissionButton-Description" &amp; $N$1</f>
        <v>'SavePermissionButton-Description'</v>
      </c>
      <c r="E228" t="str">
        <f>$N$1 &amp; "Click here to save Permission" &amp; $N$1</f>
        <v>'Click here to save Permission'</v>
      </c>
      <c r="F228" t="str">
        <f t="shared" si="10"/>
        <v>insert into sysLocalizationText Values(1228,'1228','SavePermissionButton-Description','Click here to save Permission',getdate(),getdate(),1)</v>
      </c>
    </row>
    <row r="229" spans="1:6">
      <c r="A229">
        <v>1229</v>
      </c>
      <c r="B229" s="2">
        <v>1</v>
      </c>
      <c r="C229" t="str">
        <f t="shared" si="9"/>
        <v>'1229'</v>
      </c>
      <c r="D229" t="str">
        <f>$N$1 &amp; "Role-PageTitle" &amp; $N$1</f>
        <v>'Role-PageTitle'</v>
      </c>
      <c r="E229" t="str">
        <f>$N$1 &amp; "Role" &amp; $N$1</f>
        <v>'Role'</v>
      </c>
      <c r="F229" t="str">
        <f t="shared" si="10"/>
        <v>insert into sysLocalizationText Values(1229,'1229','Role-PageTitle','Role',getdate(),getdate(),1)</v>
      </c>
    </row>
    <row r="230" spans="1:6">
      <c r="A230">
        <v>1230</v>
      </c>
      <c r="B230" s="2">
        <v>1</v>
      </c>
      <c r="C230" t="str">
        <f t="shared" si="9"/>
        <v>'1230'</v>
      </c>
      <c r="D230" t="str">
        <f>$N$1 &amp; "SearchByRoleName-Label" &amp; $N$1</f>
        <v>'SearchByRoleName-Label'</v>
      </c>
      <c r="E230" t="str">
        <f>$N$1 &amp; "By Role Name" &amp; $N$1</f>
        <v>'By Role Name'</v>
      </c>
      <c r="F230" t="str">
        <f t="shared" si="10"/>
        <v>insert into sysLocalizationText Values(1230,'1230','SearchByRoleName-Label','By Role Name',getdate(),getdate(),1)</v>
      </c>
    </row>
    <row r="231" spans="1:6">
      <c r="A231">
        <v>1231</v>
      </c>
      <c r="B231" s="2">
        <v>1</v>
      </c>
      <c r="C231" t="str">
        <f t="shared" si="9"/>
        <v>'1231'</v>
      </c>
      <c r="D231" t="str">
        <f>$N$1 &amp; "SearchByRoleName-Description" &amp; $N$1</f>
        <v>'SearchByRoleName-Description'</v>
      </c>
      <c r="E231" t="str">
        <f>$N$1 &amp; "Search by Role Name" &amp; $N$1</f>
        <v>'Search by Role Name'</v>
      </c>
      <c r="F231" t="str">
        <f t="shared" si="10"/>
        <v>insert into sysLocalizationText Values(1231,'1231','SearchByRoleName-Description','Search by Role Name',getdate(),getdate(),1)</v>
      </c>
    </row>
    <row r="232" spans="1:6">
      <c r="A232">
        <v>1232</v>
      </c>
      <c r="B232" s="2">
        <v>1</v>
      </c>
      <c r="C232" t="str">
        <f t="shared" si="9"/>
        <v>'1232'</v>
      </c>
      <c r="D232" t="str">
        <f>$N$1 &amp; "NewRole-Label" &amp; $N$1</f>
        <v>'NewRole-Label'</v>
      </c>
      <c r="E232" t="str">
        <f>$N$1 &amp; "New Role" &amp; $N$1</f>
        <v>'New Role'</v>
      </c>
      <c r="F232" t="str">
        <f t="shared" si="10"/>
        <v>insert into sysLocalizationText Values(1232,'1232','NewRole-Label','New Role',getdate(),getdate(),1)</v>
      </c>
    </row>
    <row r="233" spans="1:6">
      <c r="A233">
        <v>1233</v>
      </c>
      <c r="B233" s="2">
        <v>1</v>
      </c>
      <c r="C233" t="str">
        <f t="shared" si="9"/>
        <v>'1233'</v>
      </c>
      <c r="D233" t="str">
        <f>$N$1 &amp; "NewRole-Description" &amp; $N$1</f>
        <v>'NewRole-Description'</v>
      </c>
      <c r="E233" t="str">
        <f>$N$1 &amp; "Click here to create new Role" &amp; $N$1</f>
        <v>'Click here to create new Role'</v>
      </c>
      <c r="F233" t="str">
        <f t="shared" si="10"/>
        <v>insert into sysLocalizationText Values(1233,'1233','NewRole-Description','Click here to create new Role',getdate(),getdate(),1)</v>
      </c>
    </row>
    <row r="234" spans="1:6">
      <c r="A234">
        <v>1234</v>
      </c>
      <c r="B234" s="2">
        <v>1</v>
      </c>
      <c r="C234" t="str">
        <f t="shared" ref="C234:C255" si="11">"'" &amp; A234 &amp; "'"</f>
        <v>'1234'</v>
      </c>
      <c r="D234" t="str">
        <f>$N$1 &amp; "RoleName-Label" &amp; $N$1</f>
        <v>'RoleName-Label'</v>
      </c>
      <c r="E234" t="str">
        <f>$N$1 &amp; "Role Name" &amp; $N$1</f>
        <v>'Role Name'</v>
      </c>
      <c r="F234" t="str">
        <f t="shared" si="10"/>
        <v>insert into sysLocalizationText Values(1234,'1234','RoleName-Label','Role Name',getdate(),getdate(),1)</v>
      </c>
    </row>
    <row r="235" spans="1:6">
      <c r="A235">
        <v>1235</v>
      </c>
      <c r="B235" s="2">
        <v>1</v>
      </c>
      <c r="C235" t="str">
        <f t="shared" si="11"/>
        <v>'1235'</v>
      </c>
      <c r="D235" t="str">
        <f>$N$1 &amp; "RoleRecord-Label" &amp; $N$1</f>
        <v>'RoleRecord-Label'</v>
      </c>
      <c r="E235" t="str">
        <f>$N$1 &amp; "Role Record" &amp; $N$1</f>
        <v>'Role Record'</v>
      </c>
      <c r="F235" t="str">
        <f t="shared" si="10"/>
        <v>insert into sysLocalizationText Values(1235,'1235','RoleRecord-Label','Role Record',getdate(),getdate(),1)</v>
      </c>
    </row>
    <row r="236" spans="1:6">
      <c r="A236">
        <v>1236</v>
      </c>
      <c r="B236" s="2">
        <v>1</v>
      </c>
      <c r="C236" t="str">
        <f t="shared" si="11"/>
        <v>'1236'</v>
      </c>
      <c r="D236" t="str">
        <f>$N$1 &amp; "SaveRoleButton-Label" &amp; $N$1</f>
        <v>'SaveRoleButton-Label'</v>
      </c>
      <c r="E236" t="str">
        <f>$N$1 &amp; "Save Role" &amp; $N$1</f>
        <v>'Save Role'</v>
      </c>
      <c r="F236" t="str">
        <f t="shared" si="10"/>
        <v>insert into sysLocalizationText Values(1236,'1236','SaveRoleButton-Label','Save Role',getdate(),getdate(),1)</v>
      </c>
    </row>
    <row r="237" spans="1:6">
      <c r="A237">
        <v>1237</v>
      </c>
      <c r="B237" s="2">
        <v>1</v>
      </c>
      <c r="C237" t="str">
        <f t="shared" si="11"/>
        <v>'1237'</v>
      </c>
      <c r="D237" t="str">
        <f>$N$1 &amp; "SaveRoleButton-Description" &amp; $N$1</f>
        <v>'SaveRoleButton-Description'</v>
      </c>
      <c r="E237" t="str">
        <f>$N$1 &amp; "Click here to save Role" &amp; $N$1</f>
        <v>'Click here to save Role'</v>
      </c>
      <c r="F237" t="str">
        <f t="shared" si="10"/>
        <v>insert into sysLocalizationText Values(1237,'1237','SaveRoleButton-Description','Click here to save Role',getdate(),getdate(),1)</v>
      </c>
    </row>
    <row r="238" spans="1:6">
      <c r="A238">
        <v>1238</v>
      </c>
      <c r="B238" s="2">
        <v>1</v>
      </c>
      <c r="C238" t="str">
        <f t="shared" si="11"/>
        <v>'1238'</v>
      </c>
      <c r="D238" t="str">
        <f>$N$1 &amp; "SessionLog-PageTitle" &amp; $N$1</f>
        <v>'SessionLog-PageTitle'</v>
      </c>
      <c r="E238" t="str">
        <f>$N$1 &amp; "Session Log" &amp; $N$1</f>
        <v>'Session Log'</v>
      </c>
      <c r="F238" t="str">
        <f t="shared" si="10"/>
        <v>insert into sysLocalizationText Values(1238,'1238','SessionLog-PageTitle','Session Log',getdate(),getdate(),1)</v>
      </c>
    </row>
    <row r="239" spans="1:6">
      <c r="A239">
        <v>1239</v>
      </c>
      <c r="B239" s="2">
        <v>1</v>
      </c>
      <c r="C239" t="str">
        <f t="shared" si="11"/>
        <v>'1239'</v>
      </c>
      <c r="D239" t="str">
        <f>$N$1 &amp; "SearchByEmail-Description" &amp; $N$1</f>
        <v>'SearchByEmail-Description'</v>
      </c>
      <c r="E239" t="str">
        <f>$N$1 &amp; "Search by E-mail" &amp; $N$1</f>
        <v>'Search by E-mail'</v>
      </c>
      <c r="F239" t="str">
        <f t="shared" si="10"/>
        <v>insert into sysLocalizationText Values(1239,'1239','SearchByEmail-Description','Search by E-mail',getdate(),getdate(),1)</v>
      </c>
    </row>
    <row r="240" spans="1:6">
      <c r="A240">
        <v>1240</v>
      </c>
      <c r="B240" s="2">
        <v>1</v>
      </c>
      <c r="C240" t="str">
        <f t="shared" si="11"/>
        <v>'1240'</v>
      </c>
      <c r="D240" t="str">
        <f>$N$1 &amp; "SearchByDateInterval-Label" &amp; $N$1</f>
        <v>'SearchByDateInterval-Label'</v>
      </c>
      <c r="E240" t="str">
        <f>$N$1 &amp; "By Date Range" &amp; $N$1</f>
        <v>'By Date Range'</v>
      </c>
      <c r="F240" t="str">
        <f t="shared" si="10"/>
        <v>insert into sysLocalizationText Values(1240,'1240','SearchByDateInterval-Label','By Date Range',getdate(),getdate(),1)</v>
      </c>
    </row>
    <row r="241" spans="1:6">
      <c r="A241">
        <v>1241</v>
      </c>
      <c r="B241" s="2">
        <v>1</v>
      </c>
      <c r="C241" t="str">
        <f t="shared" si="11"/>
        <v>'1241'</v>
      </c>
      <c r="D241" t="str">
        <f>$N$1 &amp; "SearchByInicialDate-Label" &amp; $N$1</f>
        <v>'SearchByInicialDate-Label'</v>
      </c>
      <c r="E241" t="str">
        <f>$N$1 &amp; "Start Date" &amp; $N$1</f>
        <v>'Start Date'</v>
      </c>
      <c r="F241" t="str">
        <f t="shared" si="10"/>
        <v>insert into sysLocalizationText Values(1241,'1241','SearchByInicialDate-Label','Start Date',getdate(),getdate(),1)</v>
      </c>
    </row>
    <row r="242" spans="1:6">
      <c r="A242">
        <v>1242</v>
      </c>
      <c r="B242" s="2">
        <v>1</v>
      </c>
      <c r="C242" t="str">
        <f t="shared" si="11"/>
        <v>'1242'</v>
      </c>
      <c r="D242" t="str">
        <f>$N$1 &amp; "SearchByFinalDate-Label" &amp; $N$1</f>
        <v>'SearchByFinalDate-Label'</v>
      </c>
      <c r="E242" t="str">
        <f>$N$1 &amp; "End Date" &amp; $N$1</f>
        <v>'End Date'</v>
      </c>
      <c r="F242" t="str">
        <f t="shared" si="10"/>
        <v>insert into sysLocalizationText Values(1242,'1242','SearchByFinalDate-Label','End Date',getdate(),getdate(),1)</v>
      </c>
    </row>
    <row r="243" spans="1:6">
      <c r="A243">
        <v>1243</v>
      </c>
      <c r="B243" s="2">
        <v>1</v>
      </c>
      <c r="C243" t="str">
        <f t="shared" si="11"/>
        <v>'1243'</v>
      </c>
      <c r="D243" t="str">
        <f>$N$1 &amp; "AccessDate-Label" &amp; $N$1</f>
        <v>'AccessDate-Label'</v>
      </c>
      <c r="E243" t="str">
        <f>$N$1 &amp; "Access Date" &amp; $N$1</f>
        <v>'Access Date'</v>
      </c>
      <c r="F243" t="str">
        <f t="shared" si="10"/>
        <v>insert into sysLocalizationText Values(1243,'1243','AccessDate-Label','Access Date',getdate(),getdate(),1)</v>
      </c>
    </row>
    <row r="244" spans="1:6">
      <c r="A244">
        <v>1244</v>
      </c>
      <c r="B244" s="2">
        <v>1</v>
      </c>
      <c r="C244" t="str">
        <f t="shared" si="11"/>
        <v>'1244'</v>
      </c>
      <c r="D244" t="str">
        <f>$N$1 &amp; "IP-Label" &amp; $N$1</f>
        <v>'IP-Label'</v>
      </c>
      <c r="E244" t="str">
        <f t="shared" ref="E244" si="12">$N$1 &amp; "IP" &amp; $N$1</f>
        <v>'IP'</v>
      </c>
      <c r="F244" t="str">
        <f t="shared" si="10"/>
        <v>insert into sysLocalizationText Values(1244,'1244','IP-Label','IP',getdate(),getdate(),1)</v>
      </c>
    </row>
    <row r="245" spans="1:6">
      <c r="A245">
        <v>1245</v>
      </c>
      <c r="B245" s="2">
        <v>1</v>
      </c>
      <c r="C245" t="str">
        <f t="shared" si="11"/>
        <v>'1245'</v>
      </c>
      <c r="D245" t="str">
        <f>$N$1 &amp; "SuperAdmin-MenuText" &amp; $N$1</f>
        <v>'SuperAdmin-MenuText'</v>
      </c>
      <c r="E245" t="str">
        <f>$N$1 &amp; "Super Admin" &amp; $N$1</f>
        <v>'Super Admin'</v>
      </c>
      <c r="F245" t="str">
        <f t="shared" si="10"/>
        <v>insert into sysLocalizationText Values(1245,'1245','SuperAdmin-MenuText','Super Admin',getdate(),getdate(),1)</v>
      </c>
    </row>
    <row r="246" spans="1:6">
      <c r="A246">
        <v>1246</v>
      </c>
      <c r="B246" s="2">
        <v>1</v>
      </c>
      <c r="C246" t="str">
        <f t="shared" si="11"/>
        <v>'1246'</v>
      </c>
      <c r="D246" t="str">
        <f>$N$1 &amp; "BasicsData-MenuText" &amp; $N$1</f>
        <v>'BasicsData-MenuText'</v>
      </c>
      <c r="E246" t="str">
        <f>$N$1 &amp; "Management" &amp; $N$1</f>
        <v>'Management'</v>
      </c>
      <c r="F246" t="str">
        <f t="shared" si="10"/>
        <v>insert into sysLocalizationText Values(1246,'1246','BasicsData-MenuText','Management',getdate(),getdate(),1)</v>
      </c>
    </row>
    <row r="247" spans="1:6">
      <c r="A247">
        <v>1247</v>
      </c>
      <c r="B247" s="2">
        <v>1</v>
      </c>
      <c r="C247" t="str">
        <f t="shared" si="11"/>
        <v>'1247'</v>
      </c>
      <c r="D247" t="str">
        <f>$N$1 &amp; "Monitoring-MenuText" &amp; $N$1</f>
        <v>'Monitoring-MenuText'</v>
      </c>
      <c r="E247" t="str">
        <f>$N$1 &amp; "Monitoring" &amp; $N$1</f>
        <v>'Monitoring'</v>
      </c>
      <c r="F247" t="str">
        <f t="shared" si="10"/>
        <v>insert into sysLocalizationText Values(1247,'1247','Monitoring-MenuText','Monitoring',getdate(),getdate(),1)</v>
      </c>
    </row>
    <row r="248" spans="1:6">
      <c r="A248">
        <v>1248</v>
      </c>
      <c r="B248" s="2">
        <v>1</v>
      </c>
      <c r="C248" t="str">
        <f t="shared" si="11"/>
        <v>'1248'</v>
      </c>
      <c r="D248" t="str">
        <f>$N$1 &amp; "Instance-MenuText" &amp; $N$1</f>
        <v>'Instance-MenuText'</v>
      </c>
      <c r="E248" t="str">
        <f>$N$1 &amp; "Instances" &amp; $N$1</f>
        <v>'Instances'</v>
      </c>
      <c r="F248" t="str">
        <f t="shared" si="10"/>
        <v>insert into sysLocalizationText Values(1248,'1248','Instance-MenuText','Instances',getdate(),getdate(),1)</v>
      </c>
    </row>
    <row r="249" spans="1:6">
      <c r="A249">
        <v>1249</v>
      </c>
      <c r="B249" s="2">
        <v>1</v>
      </c>
      <c r="C249" t="str">
        <f t="shared" si="11"/>
        <v>'1249'</v>
      </c>
      <c r="D249" t="str">
        <f>$N$1 &amp; "Role-MenuText" &amp; $N$1</f>
        <v>'Role-MenuText'</v>
      </c>
      <c r="E249" t="str">
        <f>$N$1 &amp; "Roles" &amp; $N$1</f>
        <v>'Roles'</v>
      </c>
      <c r="F249" t="str">
        <f t="shared" si="10"/>
        <v>insert into sysLocalizationText Values(1249,'1249','Role-MenuText','Roles',getdate(),getdate(),1)</v>
      </c>
    </row>
    <row r="250" spans="1:6">
      <c r="A250">
        <v>1250</v>
      </c>
      <c r="B250" s="2">
        <v>1</v>
      </c>
      <c r="C250" t="str">
        <f t="shared" si="11"/>
        <v>'1250'</v>
      </c>
      <c r="D250" t="str">
        <f>$N$1 &amp; "Users-MenuText" &amp; $N$1</f>
        <v>'Users-MenuText'</v>
      </c>
      <c r="E250" t="str">
        <f>$N$1 &amp; "Users" &amp; $N$1</f>
        <v>'Users'</v>
      </c>
      <c r="F250" t="str">
        <f t="shared" si="10"/>
        <v>insert into sysLocalizationText Values(1250,'1250','Users-MenuText','Users',getdate(),getdate(),1)</v>
      </c>
    </row>
    <row r="251" spans="1:6">
      <c r="A251">
        <v>1251</v>
      </c>
      <c r="B251" s="2">
        <v>1</v>
      </c>
      <c r="C251" t="str">
        <f t="shared" si="11"/>
        <v>'1251'</v>
      </c>
      <c r="D251" t="str">
        <f>$N$1 &amp; "ObjectPermission-MenuText" &amp; $N$1</f>
        <v>'ObjectPermission-MenuText'</v>
      </c>
      <c r="E251" t="str">
        <f>$N$1 &amp; "Objects Permission" &amp; $N$1</f>
        <v>'Objects Permission'</v>
      </c>
      <c r="F251" t="str">
        <f t="shared" si="10"/>
        <v>insert into sysLocalizationText Values(1251,'1251','ObjectPermission-MenuText','Objects Permission',getdate(),getdate(),1)</v>
      </c>
    </row>
    <row r="252" spans="1:6">
      <c r="A252">
        <v>1252</v>
      </c>
      <c r="B252" s="2">
        <v>1</v>
      </c>
      <c r="C252" t="str">
        <f t="shared" si="11"/>
        <v>'1252'</v>
      </c>
      <c r="D252" t="str">
        <f>$N$1 &amp; "Permissions-MenuText" &amp; $N$1</f>
        <v>'Permissions-MenuText'</v>
      </c>
      <c r="E252" t="str">
        <f>$N$1 &amp; "Permissions" &amp; $N$1</f>
        <v>'Permissions'</v>
      </c>
      <c r="F252" t="str">
        <f t="shared" si="10"/>
        <v>insert into sysLocalizationText Values(1252,'1252','Permissions-MenuText','Permissions',getdate(),getdate(),1)</v>
      </c>
    </row>
    <row r="253" spans="1:6">
      <c r="A253">
        <v>1253</v>
      </c>
      <c r="B253" s="2">
        <v>1</v>
      </c>
      <c r="C253" t="str">
        <f t="shared" si="11"/>
        <v>'1253'</v>
      </c>
      <c r="D253" t="str">
        <f>$N$1 &amp; "Localization-MenuText" &amp; $N$1</f>
        <v>'Localization-MenuText'</v>
      </c>
      <c r="E253" t="str">
        <f>$N$1 &amp; "Localization Texts" &amp; $N$1</f>
        <v>'Localization Texts'</v>
      </c>
      <c r="F253" t="str">
        <f t="shared" si="10"/>
        <v>insert into sysLocalizationText Values(1253,'1253','Localization-MenuText','Localization Texts',getdate(),getdate(),1)</v>
      </c>
    </row>
    <row r="254" spans="1:6">
      <c r="A254">
        <v>1256</v>
      </c>
      <c r="B254" s="2">
        <v>1</v>
      </c>
      <c r="C254" t="str">
        <f t="shared" si="11"/>
        <v>'1256'</v>
      </c>
      <c r="D254" t="str">
        <f>$N$1 &amp; "DataLog-MenuText" &amp; $N$1</f>
        <v>'DataLog-MenuText'</v>
      </c>
      <c r="E254" t="str">
        <f>$N$1 &amp; "Data Log" &amp; $N$1</f>
        <v>'Data Log'</v>
      </c>
      <c r="F254" t="str">
        <f t="shared" si="10"/>
        <v>insert into sysLocalizationText Values(1256,'1256','DataLog-MenuText','Data Log',getdate(),getdate(),1)</v>
      </c>
    </row>
    <row r="255" spans="1:6">
      <c r="A255">
        <v>1257</v>
      </c>
      <c r="B255" s="2">
        <v>1</v>
      </c>
      <c r="C255" t="str">
        <f t="shared" si="11"/>
        <v>'1257'</v>
      </c>
      <c r="D255" t="str">
        <f>$N$1 &amp; "SessionLog-MenuText" &amp; $N$1</f>
        <v>'SessionLog-MenuText'</v>
      </c>
      <c r="E255" t="str">
        <f>$N$1 &amp; "Session Log" &amp; $N$1</f>
        <v>'Session Log'</v>
      </c>
      <c r="F255" t="str">
        <f t="shared" si="10"/>
        <v>insert into sysLocalizationText Values(1257,'1257','SessionLog-MenuText','Session Log',getdate(),getdate(),1)</v>
      </c>
    </row>
    <row r="256" spans="1:6">
      <c r="A256">
        <v>1258</v>
      </c>
      <c r="B256" s="2">
        <v>1</v>
      </c>
      <c r="C256" t="str">
        <f>"'" &amp; A256 &amp; "'"</f>
        <v>'1258'</v>
      </c>
      <c r="D256" t="str">
        <f>$N$1 &amp; "SearchByGroupParameterName-Label" &amp; $N$1</f>
        <v>'SearchByGroupParameterName-Label'</v>
      </c>
      <c r="E256" t="str">
        <f>$N$1 &amp; "Group Parameter Name" &amp; $N$1</f>
        <v>'Group Parameter Name'</v>
      </c>
      <c r="F256" t="str">
        <f t="shared" si="10"/>
        <v>insert into sysLocalizationText Values(1258,'1258','SearchByGroupParameterName-Label','Group Parameter Name',getdate(),getdate(),1)</v>
      </c>
    </row>
    <row r="257" spans="1:6">
      <c r="A257">
        <v>1259</v>
      </c>
      <c r="B257" s="2">
        <v>1</v>
      </c>
      <c r="C257" t="str">
        <f t="shared" ref="C257:C263" si="13">"'" &amp; A257 &amp; "'"</f>
        <v>'1259'</v>
      </c>
      <c r="D257" t="str">
        <f>$N$1 &amp; "SearchByGroupParameterName-Description" &amp; $N$1</f>
        <v>'SearchByGroupParameterName-Description'</v>
      </c>
      <c r="E257" t="str">
        <f>$N$1 &amp; "Search by Group Parameter Name" &amp; $N$1</f>
        <v>'Search by Group Parameter Name'</v>
      </c>
      <c r="F257" t="str">
        <f t="shared" si="10"/>
        <v>insert into sysLocalizationText Values(1259,'1259','SearchByGroupParameterName-Description','Search by Group Parameter Name',getdate(),getdate(),1)</v>
      </c>
    </row>
    <row r="258" spans="1:6">
      <c r="A258">
        <v>1260</v>
      </c>
      <c r="B258" s="2">
        <v>1</v>
      </c>
      <c r="C258" t="str">
        <f t="shared" si="13"/>
        <v>'1260'</v>
      </c>
      <c r="D258" t="str">
        <f>$N$1 &amp; "NewGroupParameter-Label" &amp; $N$1</f>
        <v>'NewGroupParameter-Label'</v>
      </c>
      <c r="E258" t="str">
        <f>$N$1 &amp; "New Group Parameter" &amp; $N$1</f>
        <v>'New Group Parameter'</v>
      </c>
      <c r="F258" t="str">
        <f t="shared" ref="F258:F321" si="14">"insert into sysLocalizationText Values(" &amp;A258 &amp; "," &amp;C258 &amp; "," &amp; D258 &amp; "," &amp; E258 &amp; ",getdate(),getdate()," &amp; B258 &amp; ")"</f>
        <v>insert into sysLocalizationText Values(1260,'1260','NewGroupParameter-Label','New Group Parameter',getdate(),getdate(),1)</v>
      </c>
    </row>
    <row r="259" spans="1:6">
      <c r="A259">
        <v>1261</v>
      </c>
      <c r="B259" s="2">
        <v>1</v>
      </c>
      <c r="C259" t="str">
        <f t="shared" si="13"/>
        <v>'1261'</v>
      </c>
      <c r="D259" t="str">
        <f>$N$1 &amp; "NewGroupParameter-Description" &amp; $N$1</f>
        <v>'NewGroupParameter-Description'</v>
      </c>
      <c r="E259" t="str">
        <f>$N$1 &amp; "Click here to create new Group Parameter " &amp; $N$1</f>
        <v>'Click here to create new Group Parameter '</v>
      </c>
      <c r="F259" t="str">
        <f t="shared" si="14"/>
        <v>insert into sysLocalizationText Values(1261,'1261','NewGroupParameter-Description','Click here to create new Group Parameter ',getdate(),getdate(),1)</v>
      </c>
    </row>
    <row r="260" spans="1:6">
      <c r="A260">
        <v>1262</v>
      </c>
      <c r="B260" s="2">
        <v>1</v>
      </c>
      <c r="C260" t="str">
        <f t="shared" si="13"/>
        <v>'1262'</v>
      </c>
      <c r="D260" t="str">
        <f>$N$1 &amp; "GroupParameterRecord-Label" &amp; $N$1</f>
        <v>'GroupParameterRecord-Label'</v>
      </c>
      <c r="E260" t="str">
        <f>$N$1 &amp; "Group Parameter Record" &amp; $N$1</f>
        <v>'Group Parameter Record'</v>
      </c>
      <c r="F260" t="str">
        <f t="shared" si="14"/>
        <v>insert into sysLocalizationText Values(1262,'1262','GroupParameterRecord-Label','Group Parameter Record',getdate(),getdate(),1)</v>
      </c>
    </row>
    <row r="261" spans="1:6">
      <c r="A261">
        <v>1263</v>
      </c>
      <c r="B261" s="2">
        <v>1</v>
      </c>
      <c r="C261" t="str">
        <f t="shared" si="13"/>
        <v>'1263'</v>
      </c>
      <c r="D261" t="str">
        <f>$N$1 &amp; "GroupParameterName-Label" &amp; $N$1</f>
        <v>'GroupParameterName-Label'</v>
      </c>
      <c r="E261" t="str">
        <f>$N$1 &amp; "Group Parameter Name " &amp; $N$1</f>
        <v>'Group Parameter Name '</v>
      </c>
      <c r="F261" t="str">
        <f t="shared" si="14"/>
        <v>insert into sysLocalizationText Values(1263,'1263','GroupParameterName-Label','Group Parameter Name ',getdate(),getdate(),1)</v>
      </c>
    </row>
    <row r="262" spans="1:6">
      <c r="A262">
        <v>1264</v>
      </c>
      <c r="B262" s="2">
        <v>1</v>
      </c>
      <c r="C262" t="str">
        <f t="shared" si="13"/>
        <v>'1264'</v>
      </c>
      <c r="D262" t="str">
        <f>$N$1 &amp; "SaveGroupParameterButton-Label" &amp; $N$1</f>
        <v>'SaveGroupParameterButton-Label'</v>
      </c>
      <c r="E262" t="str">
        <f>$N$1 &amp; "Save Group Parameter" &amp; $N$1</f>
        <v>'Save Group Parameter'</v>
      </c>
      <c r="F262" t="str">
        <f t="shared" si="14"/>
        <v>insert into sysLocalizationText Values(1264,'1264','SaveGroupParameterButton-Label','Save Group Parameter',getdate(),getdate(),1)</v>
      </c>
    </row>
    <row r="263" spans="1:6">
      <c r="A263">
        <v>1265</v>
      </c>
      <c r="B263" s="2">
        <v>1</v>
      </c>
      <c r="C263" t="str">
        <f t="shared" si="13"/>
        <v>'1265'</v>
      </c>
      <c r="D263" t="str">
        <f>$N$1 &amp; "SaveGroupParameterButton-Description" &amp; $N$1</f>
        <v>'SaveGroupParameterButton-Description'</v>
      </c>
      <c r="E263" t="str">
        <f>$N$1 &amp; "Click here to save Group Parameter" &amp; $N$1</f>
        <v>'Click here to save Group Parameter'</v>
      </c>
      <c r="F263" t="str">
        <f t="shared" si="14"/>
        <v>insert into sysLocalizationText Values(1265,'1265','SaveGroupParameterButton-Description','Click here to save Group Parameter',getdate(),getdate(),1)</v>
      </c>
    </row>
    <row r="264" spans="1:6">
      <c r="A264">
        <v>1266</v>
      </c>
      <c r="B264" s="2">
        <v>1</v>
      </c>
      <c r="C264" t="str">
        <f t="shared" ref="C264:C268" si="15">"'" &amp; A264 &amp; "'"</f>
        <v>'1266'</v>
      </c>
      <c r="D264" t="str">
        <f>$N$1 &amp; "GroupParameter-PageTitle" &amp; $N$1</f>
        <v>'GroupParameter-PageTitle'</v>
      </c>
      <c r="E264" t="str">
        <f>$N$1 &amp; "Group Parameters" &amp; $N$1</f>
        <v>'Group Parameters'</v>
      </c>
      <c r="F264" t="str">
        <f t="shared" si="14"/>
        <v>insert into sysLocalizationText Values(1266,'1266','GroupParameter-PageTitle','Group Parameters',getdate(),getdate(),1)</v>
      </c>
    </row>
    <row r="265" spans="1:6">
      <c r="A265">
        <v>1267</v>
      </c>
      <c r="B265" s="2">
        <v>1</v>
      </c>
      <c r="C265" t="str">
        <f t="shared" si="15"/>
        <v>'1267'</v>
      </c>
      <c r="D265" t="str">
        <f>$N$1 &amp; "SearchByParameterName-Label" &amp; $N$1</f>
        <v>'SearchByParameterName-Label'</v>
      </c>
      <c r="E265" t="str">
        <f>$N$1 &amp; "Parameter Name" &amp; $N$1</f>
        <v>'Parameter Name'</v>
      </c>
      <c r="F265" t="str">
        <f t="shared" si="14"/>
        <v>insert into sysLocalizationText Values(1267,'1267','SearchByParameterName-Label','Parameter Name',getdate(),getdate(),1)</v>
      </c>
    </row>
    <row r="266" spans="1:6">
      <c r="A266">
        <v>1268</v>
      </c>
      <c r="B266" s="2">
        <v>1</v>
      </c>
      <c r="C266" t="str">
        <f t="shared" si="15"/>
        <v>'1268'</v>
      </c>
      <c r="D266" t="str">
        <f>$N$1 &amp; "SearchByParameterName-Description" &amp; $N$1</f>
        <v>'SearchByParameterName-Description'</v>
      </c>
      <c r="E266" t="str">
        <f>$N$1 &amp; "Search by Parameter Name" &amp; $N$1</f>
        <v>'Search by Parameter Name'</v>
      </c>
      <c r="F266" t="str">
        <f t="shared" si="14"/>
        <v>insert into sysLocalizationText Values(1268,'1268','SearchByParameterName-Description','Search by Parameter Name',getdate(),getdate(),1)</v>
      </c>
    </row>
    <row r="267" spans="1:6">
      <c r="A267">
        <v>1269</v>
      </c>
      <c r="B267" s="2">
        <v>1</v>
      </c>
      <c r="C267" t="str">
        <f t="shared" si="15"/>
        <v>'1269'</v>
      </c>
      <c r="D267" t="str">
        <f>$N$1 &amp; "NewParameter-Label" &amp; $N$1</f>
        <v>'NewParameter-Label'</v>
      </c>
      <c r="E267" t="str">
        <f>$N$1 &amp; "New Parameter" &amp; $N$1</f>
        <v>'New Parameter'</v>
      </c>
      <c r="F267" t="str">
        <f t="shared" si="14"/>
        <v>insert into sysLocalizationText Values(1269,'1269','NewParameter-Label','New Parameter',getdate(),getdate(),1)</v>
      </c>
    </row>
    <row r="268" spans="1:6">
      <c r="A268">
        <v>1270</v>
      </c>
      <c r="B268" s="2">
        <v>1</v>
      </c>
      <c r="C268" t="str">
        <f t="shared" si="15"/>
        <v>'1270'</v>
      </c>
      <c r="D268" t="str">
        <f>$N$1 &amp; "NewParameter-Description" &amp; $N$1</f>
        <v>'NewParameter-Description'</v>
      </c>
      <c r="E268" t="str">
        <f>$N$1 &amp; "Click here to create new Parameter " &amp; $N$1</f>
        <v>'Click here to create new Parameter '</v>
      </c>
      <c r="F268" t="str">
        <f t="shared" si="14"/>
        <v>insert into sysLocalizationText Values(1270,'1270','NewParameter-Description','Click here to create new Parameter ',getdate(),getdate(),1)</v>
      </c>
    </row>
    <row r="269" spans="1:6">
      <c r="A269">
        <v>1271</v>
      </c>
      <c r="B269" s="2">
        <v>1</v>
      </c>
      <c r="C269" t="str">
        <f t="shared" ref="C269:C277" si="16">"'" &amp; A269 &amp; "'"</f>
        <v>'1271'</v>
      </c>
      <c r="D269" t="str">
        <f>$N$1 &amp; "ParameterRecord-Label" &amp; $N$1</f>
        <v>'ParameterRecord-Label'</v>
      </c>
      <c r="E269" t="str">
        <f>$N$1 &amp; "Parameter Record" &amp; $N$1</f>
        <v>'Parameter Record'</v>
      </c>
      <c r="F269" t="str">
        <f t="shared" si="14"/>
        <v>insert into sysLocalizationText Values(1271,'1271','ParameterRecord-Label','Parameter Record',getdate(),getdate(),1)</v>
      </c>
    </row>
    <row r="270" spans="1:6">
      <c r="A270">
        <v>1272</v>
      </c>
      <c r="B270" s="2">
        <v>1</v>
      </c>
      <c r="C270" t="str">
        <f t="shared" si="16"/>
        <v>'1272'</v>
      </c>
      <c r="D270" t="str">
        <f>$N$1 &amp; "ParameterName-Label" &amp; $N$1</f>
        <v>'ParameterName-Label'</v>
      </c>
      <c r="E270" t="str">
        <f>$N$1 &amp; "Parameter Name " &amp; $N$1</f>
        <v>'Parameter Name '</v>
      </c>
      <c r="F270" t="str">
        <f t="shared" si="14"/>
        <v>insert into sysLocalizationText Values(1272,'1272','ParameterName-Label','Parameter Name ',getdate(),getdate(),1)</v>
      </c>
    </row>
    <row r="271" spans="1:6">
      <c r="A271">
        <v>1273</v>
      </c>
      <c r="B271" s="2">
        <v>1</v>
      </c>
      <c r="C271" t="str">
        <f t="shared" si="16"/>
        <v>'1273'</v>
      </c>
      <c r="D271" t="str">
        <f>$N$1 &amp; "SaveParameterButton-Label" &amp; $N$1</f>
        <v>'SaveParameterButton-Label'</v>
      </c>
      <c r="E271" t="str">
        <f>$N$1 &amp; "Save Parameter" &amp; $N$1</f>
        <v>'Save Parameter'</v>
      </c>
      <c r="F271" t="str">
        <f t="shared" si="14"/>
        <v>insert into sysLocalizationText Values(1273,'1273','SaveParameterButton-Label','Save Parameter',getdate(),getdate(),1)</v>
      </c>
    </row>
    <row r="272" spans="1:6">
      <c r="A272">
        <v>1274</v>
      </c>
      <c r="B272" s="2">
        <v>1</v>
      </c>
      <c r="C272" t="str">
        <f t="shared" si="16"/>
        <v>'1274'</v>
      </c>
      <c r="D272" t="str">
        <f>$N$1 &amp; "SaveParameterButton-Description" &amp; $N$1</f>
        <v>'SaveParameterButton-Description'</v>
      </c>
      <c r="E272" t="str">
        <f>$N$1 &amp; "Click here to save Parameter" &amp; $N$1</f>
        <v>'Click here to save Parameter'</v>
      </c>
      <c r="F272" t="str">
        <f t="shared" si="14"/>
        <v>insert into sysLocalizationText Values(1274,'1274','SaveParameterButton-Description','Click here to save Parameter',getdate(),getdate(),1)</v>
      </c>
    </row>
    <row r="273" spans="1:6">
      <c r="A273">
        <v>1275</v>
      </c>
      <c r="B273" s="2">
        <v>1</v>
      </c>
      <c r="C273" t="str">
        <f t="shared" si="16"/>
        <v>'1275'</v>
      </c>
      <c r="D273" t="str">
        <f>$N$1 &amp; "Parameter-PageTitle" &amp; $N$1</f>
        <v>'Parameter-PageTitle'</v>
      </c>
      <c r="E273" t="str">
        <f>$N$1 &amp; "Parameters" &amp; $N$1</f>
        <v>'Parameters'</v>
      </c>
      <c r="F273" t="str">
        <f t="shared" si="14"/>
        <v>insert into sysLocalizationText Values(1275,'1275','Parameter-PageTitle','Parameters',getdate(),getdate(),1)</v>
      </c>
    </row>
    <row r="274" spans="1:6">
      <c r="A274">
        <v>1276</v>
      </c>
      <c r="B274" s="2">
        <v>1</v>
      </c>
      <c r="C274" t="str">
        <f t="shared" si="16"/>
        <v>'1276'</v>
      </c>
      <c r="D274" s="1" t="str">
        <f>$N$1 &amp; "ChangeUserLanguage-Title" &amp; $N$1</f>
        <v>'ChangeUserLanguage-Title'</v>
      </c>
      <c r="E274" s="1" t="str">
        <f>$N$1 &amp; "ChangeUserLanguage-Title" &amp; $N$1</f>
        <v>'ChangeUserLanguage-Title'</v>
      </c>
      <c r="F274" t="str">
        <f t="shared" si="14"/>
        <v>insert into sysLocalizationText Values(1276,'1276','ChangeUserLanguage-Title','ChangeUserLanguage-Title',getdate(),getdate(),1)</v>
      </c>
    </row>
    <row r="275" spans="1:6">
      <c r="A275">
        <v>1277</v>
      </c>
      <c r="B275" s="2">
        <v>1</v>
      </c>
      <c r="C275" t="str">
        <f t="shared" si="16"/>
        <v>'1277'</v>
      </c>
      <c r="D275" s="1" t="str">
        <f>$N$1 &amp; "ChangeUserLanguage-Message" &amp; $N$1</f>
        <v>'ChangeUserLanguage-Message'</v>
      </c>
      <c r="E275" s="1" t="str">
        <f>$N$1 &amp; "The User Language has been successfully changed. Log in again." &amp; $N$1</f>
        <v>'The User Language has been successfully changed. Log in again.'</v>
      </c>
      <c r="F275" t="str">
        <f t="shared" si="14"/>
        <v>insert into sysLocalizationText Values(1277,'1277','ChangeUserLanguage-Message','The User Language has been successfully changed. Log in again.',getdate(),getdate(),1)</v>
      </c>
    </row>
    <row r="276" spans="1:6">
      <c r="A276">
        <v>1278</v>
      </c>
      <c r="B276" s="2">
        <v>1</v>
      </c>
      <c r="C276" t="str">
        <f t="shared" ref="C276" si="17">"'" &amp; A276 &amp; "'"</f>
        <v>'1278'</v>
      </c>
      <c r="D276" t="str">
        <f>$N$1 &amp; "ExceptionLog-PageTitle" &amp; $N$1</f>
        <v>'ExceptionLog-PageTitle'</v>
      </c>
      <c r="E276" t="str">
        <f>$N$1 &amp; "Exception Log" &amp; $N$1</f>
        <v>'Exception Log'</v>
      </c>
      <c r="F276" t="str">
        <f t="shared" si="14"/>
        <v>insert into sysLocalizationText Values(1278,'1278','ExceptionLog-PageTitle','Exception Log',getdate(),getdate(),1)</v>
      </c>
    </row>
    <row r="277" spans="1:6">
      <c r="A277">
        <v>1279</v>
      </c>
      <c r="B277" s="2">
        <v>1</v>
      </c>
      <c r="C277" t="str">
        <f t="shared" si="16"/>
        <v>'1279'</v>
      </c>
      <c r="D277" t="str">
        <f>$N$1 &amp; "SearchByOrgin-Label" &amp; $N$1</f>
        <v>'SearchByOrgin-Label'</v>
      </c>
      <c r="E277" t="str">
        <f>$N$1 &amp; "Search by Origin" &amp; $N$1</f>
        <v>'Search by Origin'</v>
      </c>
      <c r="F277" t="str">
        <f t="shared" si="14"/>
        <v>insert into sysLocalizationText Values(1279,'1279','SearchByOrgin-Label','Search by Origin',getdate(),getdate(),1)</v>
      </c>
    </row>
    <row r="278" spans="1:6">
      <c r="A278">
        <v>1280</v>
      </c>
      <c r="B278" s="2">
        <v>1</v>
      </c>
      <c r="C278" t="str">
        <f t="shared" ref="C278" si="18">"'" &amp; A278 &amp; "'"</f>
        <v>'1280'</v>
      </c>
      <c r="D278" t="str">
        <f>$N$1 &amp; "Origin-Label" &amp; $N$1</f>
        <v>'Origin-Label'</v>
      </c>
      <c r="E278" t="str">
        <f>$N$1 &amp; "Origin" &amp; $N$1</f>
        <v>'Origin'</v>
      </c>
      <c r="F278" t="str">
        <f t="shared" si="14"/>
        <v>insert into sysLocalizationText Values(1280,'1280','Origin-Label','Origin',getdate(),getdate(),1)</v>
      </c>
    </row>
    <row r="279" spans="1:6">
      <c r="A279">
        <v>1281</v>
      </c>
      <c r="B279" s="2">
        <v>1</v>
      </c>
      <c r="C279" t="str">
        <f t="shared" ref="C279" si="19">"'" &amp; A279 &amp; "'"</f>
        <v>'1281'</v>
      </c>
      <c r="D279" t="str">
        <f>$N$1 &amp; "TargetSite-Label" &amp; $N$1</f>
        <v>'TargetSite-Label'</v>
      </c>
      <c r="E279" t="str">
        <f>$N$1 &amp; "Target Site" &amp; $N$1</f>
        <v>'Target Site'</v>
      </c>
      <c r="F279" t="str">
        <f t="shared" si="14"/>
        <v>insert into sysLocalizationText Values(1281,'1281','TargetSite-Label','Target Site',getdate(),getdate(),1)</v>
      </c>
    </row>
    <row r="280" spans="1:6">
      <c r="A280">
        <v>1282</v>
      </c>
      <c r="B280" s="2">
        <v>1</v>
      </c>
      <c r="C280" t="str">
        <f t="shared" ref="C280" si="20">"'" &amp; A280 &amp; "'"</f>
        <v>'1282'</v>
      </c>
      <c r="D280" t="str">
        <f>$N$1 &amp; "ErrMessage-Label" &amp; $N$1</f>
        <v>'ErrMessage-Label'</v>
      </c>
      <c r="E280" t="str">
        <f>$N$1 &amp; "Err Message" &amp; $N$1</f>
        <v>'Err Message'</v>
      </c>
      <c r="F280" t="str">
        <f t="shared" si="14"/>
        <v>insert into sysLocalizationText Values(1282,'1282','ErrMessage-Label','Err Message',getdate(),getdate(),1)</v>
      </c>
    </row>
    <row r="281" spans="1:6">
      <c r="A281">
        <v>1283</v>
      </c>
      <c r="B281" s="2">
        <v>1</v>
      </c>
      <c r="C281" t="str">
        <f t="shared" ref="C281" si="21">"'" &amp; A281 &amp; "'"</f>
        <v>'1283'</v>
      </c>
      <c r="D281" t="str">
        <f>$N$1 &amp; "StackTrace-Label" &amp; $N$1</f>
        <v>'StackTrace-Label'</v>
      </c>
      <c r="E281" t="str">
        <f>$N$1 &amp; "Stack Trace" &amp; $N$1</f>
        <v>'Stack Trace'</v>
      </c>
      <c r="F281" t="str">
        <f t="shared" si="14"/>
        <v>insert into sysLocalizationText Values(1283,'1283','StackTrace-Label','Stack Trace',getdate(),getdate(),1)</v>
      </c>
    </row>
    <row r="282" spans="1:6">
      <c r="A282">
        <v>1284</v>
      </c>
      <c r="B282" s="2">
        <v>1</v>
      </c>
      <c r="C282" t="str">
        <f t="shared" ref="C282" si="22">"'" &amp; A282 &amp; "'"</f>
        <v>'1284'</v>
      </c>
      <c r="D282" t="str">
        <f>$N$1 &amp; "ClientIP-Label" &amp; $N$1</f>
        <v>'ClientIP-Label'</v>
      </c>
      <c r="E282" t="str">
        <f>$N$1 &amp; "Client IP" &amp; $N$1</f>
        <v>'Client IP'</v>
      </c>
      <c r="F282" t="str">
        <f t="shared" si="14"/>
        <v>insert into sysLocalizationText Values(1284,'1284','ClientIP-Label','Client IP',getdate(),getdate(),1)</v>
      </c>
    </row>
    <row r="283" spans="1:6">
      <c r="A283">
        <v>1285</v>
      </c>
      <c r="B283" s="2">
        <v>1</v>
      </c>
      <c r="C283" t="str">
        <f t="shared" ref="C283" si="23">"'" &amp; A283 &amp; "'"</f>
        <v>'1285'</v>
      </c>
      <c r="D283" t="str">
        <f>$N$1 &amp; "SearchByConfigName-Label" &amp; $N$1</f>
        <v>'SearchByConfigName-Label'</v>
      </c>
      <c r="E283" t="str">
        <f>$N$1 &amp; "By Config Name" &amp; $N$1</f>
        <v>'By Config Name'</v>
      </c>
      <c r="F283" t="str">
        <f t="shared" si="14"/>
        <v>insert into sysLocalizationText Values(1285,'1285','SearchByConfigName-Label','By Config Name',getdate(),getdate(),1)</v>
      </c>
    </row>
    <row r="284" spans="1:6">
      <c r="A284">
        <v>1286</v>
      </c>
      <c r="B284" s="2">
        <v>1</v>
      </c>
      <c r="C284" t="str">
        <f t="shared" ref="C284:C288" si="24">"'" &amp; A284 &amp; "'"</f>
        <v>'1286'</v>
      </c>
      <c r="D284" t="str">
        <f>$N$1 &amp; "SearchByConfigName-Description" &amp; $N$1</f>
        <v>'SearchByConfigName-Description'</v>
      </c>
      <c r="E284" t="str">
        <f>$N$1 &amp; "Search by Config Name" &amp; $N$1</f>
        <v>'Search by Config Name'</v>
      </c>
      <c r="F284" t="str">
        <f t="shared" si="14"/>
        <v>insert into sysLocalizationText Values(1286,'1286','SearchByConfigName-Description','Search by Config Name',getdate(),getdate(),1)</v>
      </c>
    </row>
    <row r="285" spans="1:6">
      <c r="A285">
        <v>1287</v>
      </c>
      <c r="B285" s="2">
        <v>1</v>
      </c>
      <c r="C285" t="str">
        <f t="shared" si="24"/>
        <v>'1287'</v>
      </c>
      <c r="D285" t="str">
        <f>$N$1 &amp; "NewConfig-Label" &amp; $N$1</f>
        <v>'NewConfig-Label'</v>
      </c>
      <c r="E285" t="str">
        <f>$N$1 &amp; "New Config" &amp; $N$1</f>
        <v>'New Config'</v>
      </c>
      <c r="F285" t="str">
        <f t="shared" si="14"/>
        <v>insert into sysLocalizationText Values(1287,'1287','NewConfig-Label','New Config',getdate(),getdate(),1)</v>
      </c>
    </row>
    <row r="286" spans="1:6">
      <c r="A286">
        <v>1288</v>
      </c>
      <c r="B286" s="2">
        <v>1</v>
      </c>
      <c r="C286" t="str">
        <f t="shared" si="24"/>
        <v>'1288'</v>
      </c>
      <c r="D286" t="str">
        <f>$N$1 &amp; "NewConfig-Description" &amp; $N$1</f>
        <v>'NewConfig-Description'</v>
      </c>
      <c r="E286" t="str">
        <f>$N$1 &amp; "Click here to create new Config" &amp; $N$1</f>
        <v>'Click here to create new Config'</v>
      </c>
      <c r="F286" t="str">
        <f t="shared" si="14"/>
        <v>insert into sysLocalizationText Values(1288,'1288','NewConfig-Description','Click here to create new Config',getdate(),getdate(),1)</v>
      </c>
    </row>
    <row r="287" spans="1:6">
      <c r="A287">
        <v>1289</v>
      </c>
      <c r="B287" s="2">
        <v>1</v>
      </c>
      <c r="C287" t="str">
        <f t="shared" si="24"/>
        <v>'1289'</v>
      </c>
      <c r="D287" t="str">
        <f>$N$1 &amp; "ConfigName" &amp; $N$1</f>
        <v>'ConfigName'</v>
      </c>
      <c r="E287" t="str">
        <f>$N$1 &amp; "Config Name" &amp; $N$1</f>
        <v>'Config Name'</v>
      </c>
      <c r="F287" t="str">
        <f t="shared" si="14"/>
        <v>insert into sysLocalizationText Values(1289,'1289','ConfigName','Config Name',getdate(),getdate(),1)</v>
      </c>
    </row>
    <row r="288" spans="1:6">
      <c r="A288">
        <v>1290</v>
      </c>
      <c r="B288" s="2">
        <v>1</v>
      </c>
      <c r="C288" t="str">
        <f t="shared" si="24"/>
        <v>'1290'</v>
      </c>
      <c r="D288" t="str">
        <f>$N$1 &amp; "ConfigRecord-Label" &amp; $N$1</f>
        <v>'ConfigRecord-Label'</v>
      </c>
      <c r="E288" t="str">
        <f>$N$1 &amp; "Config Record" &amp; $N$1</f>
        <v>'Config Record'</v>
      </c>
      <c r="F288" t="str">
        <f t="shared" si="14"/>
        <v>insert into sysLocalizationText Values(1290,'1290','ConfigRecord-Label','Config Record',getdate(),getdate(),1)</v>
      </c>
    </row>
    <row r="289" spans="1:6">
      <c r="A289">
        <v>1291</v>
      </c>
      <c r="B289" s="2">
        <v>1</v>
      </c>
      <c r="C289" t="str">
        <f t="shared" ref="C289:C292" si="25">"'" &amp; A289 &amp; "'"</f>
        <v>'1291'</v>
      </c>
      <c r="D289" t="str">
        <f>$N$1 &amp; "ConfigName-Label" &amp; $N$1</f>
        <v>'ConfigName-Label'</v>
      </c>
      <c r="E289" t="str">
        <f>$N$1 &amp; "Config Name" &amp; $N$1</f>
        <v>'Config Name'</v>
      </c>
      <c r="F289" t="str">
        <f t="shared" si="14"/>
        <v>insert into sysLocalizationText Values(1291,'1291','ConfigName-Label','Config Name',getdate(),getdate(),1)</v>
      </c>
    </row>
    <row r="290" spans="1:6">
      <c r="A290">
        <v>1292</v>
      </c>
      <c r="B290" s="2">
        <v>1</v>
      </c>
      <c r="C290" t="str">
        <f t="shared" si="25"/>
        <v>'1292'</v>
      </c>
      <c r="D290" t="str">
        <f>$N$1 &amp; "ConfigValue-Label" &amp; $N$1</f>
        <v>'ConfigValue-Label'</v>
      </c>
      <c r="E290" t="str">
        <f>$N$1 &amp; "Config Value" &amp; $N$1</f>
        <v>'Config Value'</v>
      </c>
      <c r="F290" t="str">
        <f t="shared" si="14"/>
        <v>insert into sysLocalizationText Values(1292,'1292','ConfigValue-Label','Config Value',getdate(),getdate(),1)</v>
      </c>
    </row>
    <row r="291" spans="1:6">
      <c r="A291">
        <v>1293</v>
      </c>
      <c r="B291" s="2">
        <v>1</v>
      </c>
      <c r="C291" t="str">
        <f t="shared" si="25"/>
        <v>'1293'</v>
      </c>
      <c r="D291" t="str">
        <f>$N$1 &amp; "ConfigValue" &amp; $N$1</f>
        <v>'ConfigValue'</v>
      </c>
      <c r="E291" t="str">
        <f>$N$1 &amp; "Config Value" &amp; $N$1</f>
        <v>'Config Value'</v>
      </c>
      <c r="F291" t="str">
        <f t="shared" si="14"/>
        <v>insert into sysLocalizationText Values(1293,'1293','ConfigValue','Config Value',getdate(),getdate(),1)</v>
      </c>
    </row>
    <row r="292" spans="1:6">
      <c r="A292">
        <v>1294</v>
      </c>
      <c r="B292" s="2">
        <v>1</v>
      </c>
      <c r="C292" t="str">
        <f t="shared" si="25"/>
        <v>'1294'</v>
      </c>
      <c r="D292" t="str">
        <f>$N$1 &amp; "SaveConfigButton-Label" &amp; $N$1</f>
        <v>'SaveConfigButton-Label'</v>
      </c>
      <c r="E292" t="str">
        <f>$N$1 &amp; "Save Config" &amp; $N$1</f>
        <v>'Save Config'</v>
      </c>
      <c r="F292" t="str">
        <f t="shared" si="14"/>
        <v>insert into sysLocalizationText Values(1294,'1294','SaveConfigButton-Label','Save Config',getdate(),getdate(),1)</v>
      </c>
    </row>
    <row r="293" spans="1:6">
      <c r="A293">
        <v>1295</v>
      </c>
      <c r="B293" s="2">
        <v>1</v>
      </c>
      <c r="C293" t="str">
        <f t="shared" ref="C293" si="26">"'" &amp; A293 &amp; "'"</f>
        <v>'1295'</v>
      </c>
      <c r="D293" t="str">
        <f>$N$1 &amp; "SaveConfigButton-Description" &amp; $N$1</f>
        <v>'SaveConfigButton-Description'</v>
      </c>
      <c r="E293" t="str">
        <f>$N$1 &amp; "Click here to save Config" &amp; $N$1</f>
        <v>'Click here to save Config'</v>
      </c>
      <c r="F293" t="str">
        <f t="shared" si="14"/>
        <v>insert into sysLocalizationText Values(1295,'1295','SaveConfigButton-Description','Click here to save Config',getdate(),getdate(),1)</v>
      </c>
    </row>
    <row r="294" spans="1:6">
      <c r="A294">
        <v>1296</v>
      </c>
      <c r="B294" s="2">
        <v>1</v>
      </c>
      <c r="C294" t="str">
        <f t="shared" ref="C294" si="27">"'" &amp; A294 &amp; "'"</f>
        <v>'1296'</v>
      </c>
      <c r="D294" t="str">
        <f>$N$1 &amp; "Configs-PageTitle" &amp; $N$1</f>
        <v>'Configs-PageTitle'</v>
      </c>
      <c r="E294" t="str">
        <f>$N$1 &amp; "Configurations" &amp; $N$1</f>
        <v>'Configurations'</v>
      </c>
      <c r="F294" t="str">
        <f t="shared" si="14"/>
        <v>insert into sysLocalizationText Values(1296,'1296','Configs-PageTitle','Configurations',getdate(),getdate(),1)</v>
      </c>
    </row>
    <row r="295" spans="1:6">
      <c r="A295">
        <v>1297</v>
      </c>
      <c r="B295" s="2">
        <v>1</v>
      </c>
      <c r="C295" t="str">
        <f t="shared" ref="C295" si="28">"'" &amp; A295 &amp; "'"</f>
        <v>'1297'</v>
      </c>
      <c r="D295" t="str">
        <f>$N$1 &amp; "Logout-Label" &amp; $N$1</f>
        <v>'Logout-Label'</v>
      </c>
      <c r="E295" t="str">
        <f>$N$1 &amp; "Logout" &amp; $N$1</f>
        <v>'Logout'</v>
      </c>
      <c r="F295" t="str">
        <f t="shared" si="14"/>
        <v>insert into sysLocalizationText Values(1297,'1297','Logout-Label','Logout',getdate(),getdate(),1)</v>
      </c>
    </row>
    <row r="296" spans="1:6">
      <c r="A296">
        <v>1298</v>
      </c>
      <c r="B296" s="2">
        <v>1</v>
      </c>
      <c r="C296" t="str">
        <f t="shared" ref="C296" si="29">"'" &amp; A296 &amp; "'"</f>
        <v>'1298'</v>
      </c>
      <c r="D296" t="str">
        <f>$N$1 &amp; "AlterProfileImage-Description" &amp; $N$1</f>
        <v>'AlterProfileImage-Description'</v>
      </c>
      <c r="E296" t="str">
        <f>$N$1 &amp; "Drag the file here you wish to upload, or click on buttom above to browse." &amp; $N$1</f>
        <v>'Drag the file here you wish to upload, or click on buttom above to browse.'</v>
      </c>
      <c r="F296" t="str">
        <f t="shared" si="14"/>
        <v>insert into sysLocalizationText Values(1298,'1298','AlterProfileImage-Description','Drag the file here you wish to upload, or click on buttom above to browse.',getdate(),getdate(),1)</v>
      </c>
    </row>
    <row r="297" spans="1:6">
      <c r="A297">
        <v>1299</v>
      </c>
      <c r="B297" s="2">
        <v>1</v>
      </c>
      <c r="C297" t="str">
        <f t="shared" ref="C297:C311" si="30">"'" &amp; A297 &amp; "'"</f>
        <v>'1299'</v>
      </c>
      <c r="D297" t="str">
        <f>$N$1 &amp; "Menu-Superadmin" &amp; $N$1</f>
        <v>'Menu-Superadmin'</v>
      </c>
      <c r="E297" t="str">
        <f>$N$1 &amp; "Super Admin" &amp; $N$1</f>
        <v>'Super Admin'</v>
      </c>
      <c r="F297" t="str">
        <f t="shared" si="14"/>
        <v>insert into sysLocalizationText Values(1299,'1299','Menu-Superadmin','Super Admin',getdate(),getdate(),1)</v>
      </c>
    </row>
    <row r="298" spans="1:6">
      <c r="A298">
        <v>1300</v>
      </c>
      <c r="B298" s="2">
        <v>1</v>
      </c>
      <c r="C298" t="str">
        <f t="shared" si="30"/>
        <v>'1300'</v>
      </c>
      <c r="D298" t="str">
        <f>$N$1 &amp; "Menu-Configs" &amp; $N$1</f>
        <v>'Menu-Configs'</v>
      </c>
      <c r="E298" t="str">
        <f>$N$1 &amp; "Business Configs" &amp; $N$1</f>
        <v>'Business Configs'</v>
      </c>
      <c r="F298" t="str">
        <f t="shared" si="14"/>
        <v>insert into sysLocalizationText Values(1300,'1300','Menu-Configs','Business Configs',getdate(),getdate(),1)</v>
      </c>
    </row>
    <row r="299" spans="1:6">
      <c r="A299">
        <v>1301</v>
      </c>
      <c r="B299" s="2">
        <v>1</v>
      </c>
      <c r="C299" t="str">
        <f t="shared" si="30"/>
        <v>'1301'</v>
      </c>
      <c r="D299" t="str">
        <f>$N$1 &amp; "Menu-Instance" &amp; $N$1</f>
        <v>'Menu-Instance'</v>
      </c>
      <c r="E299" t="str">
        <f>$N$1 &amp; "Instances" &amp; $N$1</f>
        <v>'Instances'</v>
      </c>
      <c r="F299" t="str">
        <f t="shared" si="14"/>
        <v>insert into sysLocalizationText Values(1301,'1301','Menu-Instance','Instances',getdate(),getdate(),1)</v>
      </c>
    </row>
    <row r="300" spans="1:6">
      <c r="A300">
        <v>1302</v>
      </c>
      <c r="B300" s="2">
        <v>1</v>
      </c>
      <c r="C300" t="str">
        <f t="shared" si="30"/>
        <v>'1302'</v>
      </c>
      <c r="D300" t="str">
        <f>$N$1 &amp; "Menu-Roles" &amp; $N$1</f>
        <v>'Menu-Roles'</v>
      </c>
      <c r="E300" t="str">
        <f>$N$1 &amp; "Roles" &amp; $N$1</f>
        <v>'Roles'</v>
      </c>
      <c r="F300" t="str">
        <f t="shared" si="14"/>
        <v>insert into sysLocalizationText Values(1302,'1302','Menu-Roles','Roles',getdate(),getdate(),1)</v>
      </c>
    </row>
    <row r="301" spans="1:6">
      <c r="A301">
        <v>1303</v>
      </c>
      <c r="B301" s="2">
        <v>1</v>
      </c>
      <c r="C301" t="str">
        <f t="shared" si="30"/>
        <v>'1303'</v>
      </c>
      <c r="D301" t="str">
        <f>$N$1 &amp; "Menu-ObjectPermissions" &amp; $N$1</f>
        <v>'Menu-ObjectPermissions'</v>
      </c>
      <c r="E301" t="str">
        <f>$N$1 &amp; "Object Permissions" &amp; $N$1</f>
        <v>'Object Permissions'</v>
      </c>
      <c r="F301" t="str">
        <f t="shared" si="14"/>
        <v>insert into sysLocalizationText Values(1303,'1303','Menu-ObjectPermissions','Object Permissions',getdate(),getdate(),1)</v>
      </c>
    </row>
    <row r="302" spans="1:6">
      <c r="A302">
        <v>1304</v>
      </c>
      <c r="B302" s="2">
        <v>1</v>
      </c>
      <c r="C302" t="str">
        <f t="shared" si="30"/>
        <v>'1304'</v>
      </c>
      <c r="D302" t="str">
        <f>$N$1 &amp; "Menu-Permissions" &amp; $N$1</f>
        <v>'Menu-Permissions'</v>
      </c>
      <c r="E302" t="str">
        <f>$N$1 &amp; "Permissions" &amp; $N$1</f>
        <v>'Permissions'</v>
      </c>
      <c r="F302" t="str">
        <f t="shared" si="14"/>
        <v>insert into sysLocalizationText Values(1304,'1304','Menu-Permissions','Permissions',getdate(),getdate(),1)</v>
      </c>
    </row>
    <row r="303" spans="1:6">
      <c r="A303">
        <v>1305</v>
      </c>
      <c r="B303" s="2">
        <v>1</v>
      </c>
      <c r="C303" t="str">
        <f t="shared" si="30"/>
        <v>'1305'</v>
      </c>
      <c r="D303" t="str">
        <f>$N$1 &amp; "Menu-Users" &amp; $N$1</f>
        <v>'Menu-Users'</v>
      </c>
      <c r="E303" t="str">
        <f>$N$1 &amp; "Users" &amp; $N$1</f>
        <v>'Users'</v>
      </c>
      <c r="F303" t="str">
        <f t="shared" si="14"/>
        <v>insert into sysLocalizationText Values(1305,'1305','Menu-Users','Users',getdate(),getdate(),1)</v>
      </c>
    </row>
    <row r="304" spans="1:6">
      <c r="A304">
        <v>1306</v>
      </c>
      <c r="B304" s="2">
        <v>1</v>
      </c>
      <c r="C304" t="str">
        <f t="shared" si="30"/>
        <v>'1306'</v>
      </c>
      <c r="D304" t="str">
        <f>$N$1 &amp; "Menu-LocalizationTexts" &amp; $N$1</f>
        <v>'Menu-LocalizationTexts'</v>
      </c>
      <c r="E304" t="str">
        <f>$N$1 &amp; "Localization Texts" &amp; $N$1</f>
        <v>'Localization Texts'</v>
      </c>
      <c r="F304" t="str">
        <f t="shared" si="14"/>
        <v>insert into sysLocalizationText Values(1306,'1306','Menu-LocalizationTexts','Localization Texts',getdate(),getdate(),1)</v>
      </c>
    </row>
    <row r="305" spans="1:6">
      <c r="A305">
        <v>1307</v>
      </c>
      <c r="B305" s="2">
        <v>1</v>
      </c>
      <c r="C305" t="str">
        <f t="shared" si="30"/>
        <v>'1307'</v>
      </c>
      <c r="D305" t="str">
        <f>$N$1 &amp; "Menu-GroupParameters" &amp; $N$1</f>
        <v>'Menu-GroupParameters'</v>
      </c>
      <c r="E305" t="str">
        <f>$N$1 &amp; "Group Parameters" &amp; $N$1</f>
        <v>'Group Parameters'</v>
      </c>
      <c r="F305" t="str">
        <f t="shared" si="14"/>
        <v>insert into sysLocalizationText Values(1307,'1307','Menu-GroupParameters','Group Parameters',getdate(),getdate(),1)</v>
      </c>
    </row>
    <row r="306" spans="1:6">
      <c r="A306">
        <v>1308</v>
      </c>
      <c r="B306" s="2">
        <v>1</v>
      </c>
      <c r="C306" t="str">
        <f t="shared" si="30"/>
        <v>'1308'</v>
      </c>
      <c r="D306" t="str">
        <f>$N$1 &amp; "Menu-Parameters" &amp; $N$1</f>
        <v>'Menu-Parameters'</v>
      </c>
      <c r="E306" t="str">
        <f>$N$1 &amp; "Parameters" &amp; $N$1</f>
        <v>'Parameters'</v>
      </c>
      <c r="F306" t="str">
        <f t="shared" si="14"/>
        <v>insert into sysLocalizationText Values(1308,'1308','Menu-Parameters','Parameters',getdate(),getdate(),1)</v>
      </c>
    </row>
    <row r="307" spans="1:6">
      <c r="A307">
        <v>1309</v>
      </c>
      <c r="B307" s="2">
        <v>1</v>
      </c>
      <c r="C307" t="str">
        <f t="shared" si="30"/>
        <v>'1309'</v>
      </c>
      <c r="D307" t="str">
        <f>$N$1 &amp; "Menu-Monitoring" &amp; $N$1</f>
        <v>'Menu-Monitoring'</v>
      </c>
      <c r="E307" t="str">
        <f>$N$1 &amp; "Monitoring" &amp; $N$1</f>
        <v>'Monitoring'</v>
      </c>
      <c r="F307" t="str">
        <f t="shared" si="14"/>
        <v>insert into sysLocalizationText Values(1309,'1309','Menu-Monitoring','Monitoring',getdate(),getdate(),1)</v>
      </c>
    </row>
    <row r="308" spans="1:6">
      <c r="A308">
        <v>1310</v>
      </c>
      <c r="B308" s="2">
        <v>1</v>
      </c>
      <c r="C308" t="str">
        <f t="shared" si="30"/>
        <v>'1310'</v>
      </c>
      <c r="D308" t="str">
        <f>$N$1 &amp; "Menu-SessionLog" &amp; $N$1</f>
        <v>'Menu-SessionLog'</v>
      </c>
      <c r="E308" t="str">
        <f>$N$1 &amp; "Session Log" &amp; $N$1</f>
        <v>'Session Log'</v>
      </c>
      <c r="F308" t="str">
        <f t="shared" si="14"/>
        <v>insert into sysLocalizationText Values(1310,'1310','Menu-SessionLog','Session Log',getdate(),getdate(),1)</v>
      </c>
    </row>
    <row r="309" spans="1:6">
      <c r="A309">
        <v>1311</v>
      </c>
      <c r="B309" s="2">
        <v>1</v>
      </c>
      <c r="C309" t="str">
        <f t="shared" si="30"/>
        <v>'1311'</v>
      </c>
      <c r="D309" t="str">
        <f>$N$1 &amp; "Menu-DataLog" &amp; $N$1</f>
        <v>'Menu-DataLog'</v>
      </c>
      <c r="E309" t="str">
        <f>$N$1 &amp; "Data Log" &amp; $N$1</f>
        <v>'Data Log'</v>
      </c>
      <c r="F309" t="str">
        <f t="shared" si="14"/>
        <v>insert into sysLocalizationText Values(1311,'1311','Menu-DataLog','Data Log',getdate(),getdate(),1)</v>
      </c>
    </row>
    <row r="310" spans="1:6">
      <c r="A310">
        <v>1312</v>
      </c>
      <c r="B310" s="2">
        <v>1</v>
      </c>
      <c r="C310" t="str">
        <f t="shared" si="30"/>
        <v>'1312'</v>
      </c>
      <c r="D310" t="str">
        <f>$N$1 &amp; "Menu-ExceptionLog" &amp; $N$1</f>
        <v>'Menu-ExceptionLog'</v>
      </c>
      <c r="E310" t="str">
        <f>$N$1 &amp; "Exception Log" &amp; $N$1</f>
        <v>'Exception Log'</v>
      </c>
      <c r="F310" t="str">
        <f t="shared" si="14"/>
        <v>insert into sysLocalizationText Values(1312,'1312','Menu-ExceptionLog','Exception Log',getdate(),getdate(),1)</v>
      </c>
    </row>
    <row r="311" spans="1:6">
      <c r="A311">
        <v>1313</v>
      </c>
      <c r="B311" s="2">
        <v>1</v>
      </c>
      <c r="C311" t="str">
        <f t="shared" si="30"/>
        <v>'1313'</v>
      </c>
      <c r="D311" t="str">
        <f>$N$1 &amp; "Editing-Label" &amp; $N$1</f>
        <v>'Editing-Label'</v>
      </c>
      <c r="E311" t="str">
        <f>$N$1 &amp; "Editing" &amp; $N$1</f>
        <v>'Editing'</v>
      </c>
      <c r="F311" t="str">
        <f t="shared" si="14"/>
        <v>insert into sysLocalizationText Values(1313,'1313','Editing-Label','Editing',getdate(),getdate(),1)</v>
      </c>
    </row>
    <row r="312" spans="1:6">
      <c r="A312">
        <v>1314</v>
      </c>
      <c r="B312" s="2">
        <v>1</v>
      </c>
      <c r="C312" t="str">
        <f t="shared" ref="C312" si="31">"'" &amp; A312 &amp; "'"</f>
        <v>'1314'</v>
      </c>
      <c r="D312" t="str">
        <f>$N$1 &amp; "Inserting-Label" &amp; $N$1</f>
        <v>'Inserting-Label'</v>
      </c>
      <c r="E312" t="str">
        <f>$N$1 &amp; "Inserting" &amp; $N$1</f>
        <v>'Inserting'</v>
      </c>
      <c r="F312" t="str">
        <f t="shared" si="14"/>
        <v>insert into sysLocalizationText Values(1314,'1314','Inserting-Label','Inserting',getdate(),getdate(),1)</v>
      </c>
    </row>
    <row r="313" spans="1:6">
      <c r="A313">
        <v>1315</v>
      </c>
      <c r="B313" s="2">
        <v>1</v>
      </c>
      <c r="C313" t="str">
        <f t="shared" ref="C313" si="32">"'" &amp; A313 &amp; "'"</f>
        <v>'1315'</v>
      </c>
      <c r="D313" t="str">
        <f>$N$1 &amp; "RemoveConfirmation-Label" &amp; $N$1</f>
        <v>'RemoveConfirmation-Label'</v>
      </c>
      <c r="E313" t="str">
        <f>$N$1 &amp; "Are you sure to remove this record?" &amp; $N$1</f>
        <v>'Are you sure to remove this record?'</v>
      </c>
      <c r="F313" t="str">
        <f t="shared" si="14"/>
        <v>insert into sysLocalizationText Values(1315,'1315','RemoveConfirmation-Label','Are you sure to remove this record?',getdate(),getdate(),1)</v>
      </c>
    </row>
    <row r="314" spans="1:6">
      <c r="A314">
        <v>1316</v>
      </c>
      <c r="B314" s="2">
        <v>1</v>
      </c>
      <c r="C314" t="str">
        <f t="shared" ref="C314:C315" si="33">"'" &amp; A314 &amp; "'"</f>
        <v>'1316'</v>
      </c>
      <c r="D314" t="str">
        <f>$N$1 &amp; "RemoveConfirmation-Message" &amp; $N$1</f>
        <v>'RemoveConfirmation-Message'</v>
      </c>
      <c r="E314" t="str">
        <f>$N$1 &amp; "The record was removed successfuly." &amp; $N$1</f>
        <v>'The record was removed successfuly.'</v>
      </c>
      <c r="F314" t="str">
        <f t="shared" si="14"/>
        <v>insert into sysLocalizationText Values(1316,'1316','RemoveConfirmation-Message','The record was removed successfuly.',getdate(),getdate(),1)</v>
      </c>
    </row>
    <row r="315" spans="1:6">
      <c r="A315">
        <v>1317</v>
      </c>
      <c r="B315" s="2">
        <v>1</v>
      </c>
      <c r="C315" t="str">
        <f t="shared" si="33"/>
        <v>'1317'</v>
      </c>
      <c r="D315" t="str">
        <f>$N$1 &amp; "AllowRead-Label" &amp; $N$1</f>
        <v>'AllowRead-Label'</v>
      </c>
      <c r="E315" t="str">
        <f>$N$1 &amp; "Read" &amp; $N$1</f>
        <v>'Read'</v>
      </c>
      <c r="F315" t="str">
        <f t="shared" si="14"/>
        <v>insert into sysLocalizationText Values(1317,'1317','AllowRead-Label','Read',getdate(),getdate(),1)</v>
      </c>
    </row>
    <row r="316" spans="1:6">
      <c r="A316">
        <v>1318</v>
      </c>
      <c r="B316" s="2">
        <v>1</v>
      </c>
      <c r="C316" t="str">
        <f t="shared" ref="C316" si="34">"'" &amp; A316 &amp; "'"</f>
        <v>'1318'</v>
      </c>
      <c r="D316" t="str">
        <f>$N$1 &amp; "AllowSave-Label" &amp; $N$1</f>
        <v>'AllowSave-Label'</v>
      </c>
      <c r="E316" t="str">
        <f>$N$1 &amp; "Save" &amp; $N$1</f>
        <v>'Save'</v>
      </c>
      <c r="F316" t="str">
        <f t="shared" si="14"/>
        <v>insert into sysLocalizationText Values(1318,'1318','AllowSave-Label','Save',getdate(),getdate(),1)</v>
      </c>
    </row>
    <row r="317" spans="1:6">
      <c r="A317">
        <v>1319</v>
      </c>
      <c r="B317" s="2">
        <v>1</v>
      </c>
      <c r="C317" t="str">
        <f t="shared" ref="C317:C318" si="35">"'" &amp; A317 &amp; "'"</f>
        <v>'1319'</v>
      </c>
      <c r="D317" t="str">
        <f>$N$1 &amp; "AllowDelete-Label" &amp; $N$1</f>
        <v>'AllowDelete-Label'</v>
      </c>
      <c r="E317" t="str">
        <f>$N$1 &amp; "Delete" &amp; $N$1</f>
        <v>'Delete'</v>
      </c>
      <c r="F317" t="str">
        <f t="shared" si="14"/>
        <v>insert into sysLocalizationText Values(1319,'1319','AllowDelete-Label','Delete',getdate(),getdate(),1)</v>
      </c>
    </row>
    <row r="318" spans="1:6">
      <c r="A318">
        <v>1320</v>
      </c>
      <c r="B318" s="2">
        <v>1</v>
      </c>
      <c r="C318" t="str">
        <f t="shared" si="35"/>
        <v>'1320'</v>
      </c>
      <c r="D318" t="str">
        <f>$N$1 &amp; "InsertOperation-Text" &amp; $N$1</f>
        <v>'InsertOperation-Text'</v>
      </c>
      <c r="E318" t="str">
        <f>$N$1 &amp; "Insert" &amp; $N$1</f>
        <v>'Insert'</v>
      </c>
      <c r="F318" t="str">
        <f t="shared" si="14"/>
        <v>insert into sysLocalizationText Values(1320,'1320','InsertOperation-Text','Insert',getdate(),getdate(),1)</v>
      </c>
    </row>
    <row r="319" spans="1:6">
      <c r="A319">
        <v>1321</v>
      </c>
      <c r="B319" s="2">
        <v>1</v>
      </c>
      <c r="C319" t="str">
        <f t="shared" ref="C319:C320" si="36">"'" &amp; A319 &amp; "'"</f>
        <v>'1321'</v>
      </c>
      <c r="D319" t="str">
        <f>$N$1 &amp; "UpdateOperation-Text" &amp; $N$1</f>
        <v>'UpdateOperation-Text'</v>
      </c>
      <c r="E319" t="str">
        <f>$N$1 &amp; "Update" &amp; $N$1</f>
        <v>'Update'</v>
      </c>
      <c r="F319" t="str">
        <f t="shared" si="14"/>
        <v>insert into sysLocalizationText Values(1321,'1321','UpdateOperation-Text','Update',getdate(),getdate(),1)</v>
      </c>
    </row>
    <row r="320" spans="1:6">
      <c r="A320">
        <v>1322</v>
      </c>
      <c r="B320" s="2">
        <v>1</v>
      </c>
      <c r="C320" t="str">
        <f t="shared" si="36"/>
        <v>'1322'</v>
      </c>
      <c r="D320" t="str">
        <f>$N$1 &amp; "DeleteOperation-Text" &amp; $N$1</f>
        <v>'DeleteOperation-Text'</v>
      </c>
      <c r="E320" t="str">
        <f>$N$1 &amp; "Delete" &amp; $N$1</f>
        <v>'Delete'</v>
      </c>
      <c r="F320" t="str">
        <f t="shared" si="14"/>
        <v>insert into sysLocalizationText Values(1322,'1322','DeleteOperation-Text','Delete',getdate(),getdate(),1)</v>
      </c>
    </row>
    <row r="321" spans="1:6">
      <c r="A321">
        <v>1323</v>
      </c>
      <c r="B321" s="2">
        <v>1</v>
      </c>
      <c r="C321" t="str">
        <f t="shared" ref="C321:C327" si="37">"'" &amp; A321 &amp; "'"</f>
        <v>'1323'</v>
      </c>
      <c r="D321" t="str">
        <f>$N$1 &amp; "NewLanguage-Label" &amp; $N$1</f>
        <v>'NewLanguage-Label'</v>
      </c>
      <c r="E321" t="str">
        <f>$N$1 &amp; "New Language" &amp; $N$1</f>
        <v>'New Language'</v>
      </c>
      <c r="F321" t="str">
        <f t="shared" si="14"/>
        <v>insert into sysLocalizationText Values(1323,'1323','NewLanguage-Label','New Language',getdate(),getdate(),1)</v>
      </c>
    </row>
    <row r="322" spans="1:6">
      <c r="A322">
        <v>1324</v>
      </c>
      <c r="B322" s="2">
        <v>1</v>
      </c>
      <c r="C322" t="str">
        <f t="shared" si="37"/>
        <v>'1324'</v>
      </c>
      <c r="D322" t="str">
        <f>$N$1 &amp; "SaveLanguageButton-Label" &amp; $N$1</f>
        <v>'SaveLanguageButton-Label'</v>
      </c>
      <c r="E322" t="str">
        <f>$N$1 &amp; "Save Language" &amp; $N$1</f>
        <v>'Save Language'</v>
      </c>
      <c r="F322" t="str">
        <f t="shared" ref="F322:F327" si="38">"insert into sysLocalizationText Values(" &amp;A322 &amp; "," &amp;C322 &amp; "," &amp; D322 &amp; "," &amp; E322 &amp; ",getdate(),getdate()," &amp; B322 &amp; ")"</f>
        <v>insert into sysLocalizationText Values(1324,'1324','SaveLanguageButton-Label','Save Language',getdate(),getdate(),1)</v>
      </c>
    </row>
    <row r="323" spans="1:6">
      <c r="A323">
        <v>1325</v>
      </c>
      <c r="B323" s="2">
        <v>1</v>
      </c>
      <c r="C323" t="str">
        <f t="shared" si="37"/>
        <v>'1325'</v>
      </c>
      <c r="D323" t="str">
        <f>$N$1 &amp; "SearchByLanguageName-Label" &amp; $N$1</f>
        <v>'SearchByLanguageName-Label'</v>
      </c>
      <c r="E323" t="str">
        <f>$N$1 &amp; "By Language Name" &amp; $N$1</f>
        <v>'By Language Name'</v>
      </c>
      <c r="F323" t="str">
        <f t="shared" si="38"/>
        <v>insert into sysLocalizationText Values(1325,'1325','SearchByLanguageName-Label','By Language Name',getdate(),getdate(),1)</v>
      </c>
    </row>
    <row r="324" spans="1:6">
      <c r="A324">
        <v>1326</v>
      </c>
      <c r="B324" s="2">
        <v>1</v>
      </c>
      <c r="C324" t="str">
        <f t="shared" si="37"/>
        <v>'1326'</v>
      </c>
      <c r="D324" t="str">
        <f>$N$1 &amp; "LanguageName-Label" &amp; $N$1</f>
        <v>'LanguageName-Label'</v>
      </c>
      <c r="E324" t="str">
        <f>$N$1 &amp; "Language Name" &amp; $N$1</f>
        <v>'Language Name'</v>
      </c>
      <c r="F324" t="str">
        <f t="shared" si="38"/>
        <v>insert into sysLocalizationText Values(1326,'1326','LanguageName-Label','Language Name',getdate(),getdate(),1)</v>
      </c>
    </row>
    <row r="325" spans="1:6">
      <c r="A325">
        <v>1327</v>
      </c>
      <c r="B325" s="2">
        <v>1</v>
      </c>
      <c r="C325" t="str">
        <f t="shared" si="37"/>
        <v>'1327'</v>
      </c>
      <c r="D325" t="str">
        <f>$N$1 &amp; "Description-Label" &amp; $N$1</f>
        <v>'Description-Label'</v>
      </c>
      <c r="E325" t="str">
        <f>$N$1 &amp; "Description" &amp; $N$1</f>
        <v>'Description'</v>
      </c>
      <c r="F325" t="str">
        <f t="shared" si="38"/>
        <v>insert into sysLocalizationText Values(1327,'1327','Description-Label','Description',getdate(),getdate(),1)</v>
      </c>
    </row>
    <row r="326" spans="1:6">
      <c r="A326">
        <v>1328</v>
      </c>
      <c r="B326" s="2">
        <v>1</v>
      </c>
      <c r="C326" t="str">
        <f t="shared" si="37"/>
        <v>'1328'</v>
      </c>
      <c r="D326" t="str">
        <f>$N$1 &amp; "Language-PageTitle" &amp; $N$1</f>
        <v>'Language-PageTitle'</v>
      </c>
      <c r="E326" t="str">
        <f>$N$1 &amp; "Language" &amp; $N$1</f>
        <v>'Language'</v>
      </c>
      <c r="F326" t="str">
        <f t="shared" si="38"/>
        <v>insert into sysLocalizationText Values(1328,'1328','Language-PageTitle','Language',getdate(),getdate(),1)</v>
      </c>
    </row>
    <row r="327" spans="1:6">
      <c r="A327">
        <v>1329</v>
      </c>
      <c r="B327" s="2">
        <v>1</v>
      </c>
      <c r="C327" t="str">
        <f t="shared" si="37"/>
        <v>'1329'</v>
      </c>
      <c r="D327" t="str">
        <f>$N$1 &amp; "Menu-Language" &amp; $N$1</f>
        <v>'Menu-Language'</v>
      </c>
      <c r="E327" t="str">
        <f>$N$1 &amp; "Languages" &amp; $N$1</f>
        <v>'Languages'</v>
      </c>
      <c r="F327" t="str">
        <f t="shared" si="38"/>
        <v>insert into sysLocalizationText Values(1329,'1329','Menu-Language','Languages',getdate(),getdate(),1)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27"/>
  <sheetViews>
    <sheetView workbookViewId="0">
      <selection activeCell="F328" sqref="F328"/>
    </sheetView>
  </sheetViews>
  <sheetFormatPr defaultRowHeight="15"/>
  <cols>
    <col min="2" max="2" width="13.140625" style="2" customWidth="1"/>
    <col min="4" max="4" width="39.5703125" customWidth="1"/>
    <col min="5" max="5" width="76.140625" customWidth="1"/>
    <col min="6" max="6" width="92.42578125" customWidth="1"/>
  </cols>
  <sheetData>
    <row r="1" spans="1:14">
      <c r="A1">
        <v>2001</v>
      </c>
      <c r="B1" s="2">
        <v>2</v>
      </c>
      <c r="C1" t="str">
        <f>"'" &amp; A1 &amp; "'"</f>
        <v>'2001'</v>
      </c>
      <c r="D1" t="s">
        <v>0</v>
      </c>
      <c r="E1" t="s">
        <v>96</v>
      </c>
      <c r="F1" t="str">
        <f>"insert into sysLocalizationText Values(" &amp;A1 &amp; "," &amp;C1 &amp; "," &amp; D1 &amp; "," &amp; E1 &amp; ",getdate(),getdate()," &amp; B1 &amp; ")"</f>
        <v>insert into sysLocalizationText Values(2001,'2001',     'Execution-Error',    'Erro de execução ',getdate(),getdate(),2)</v>
      </c>
      <c r="N1" t="str">
        <f>"'"</f>
        <v>'</v>
      </c>
    </row>
    <row r="2" spans="1:14">
      <c r="A2">
        <v>2002</v>
      </c>
      <c r="B2" s="2">
        <v>2</v>
      </c>
      <c r="C2" t="str">
        <f t="shared" ref="C2:C65" si="0">"'" &amp; A2 &amp; "'"</f>
        <v>'2002'</v>
      </c>
      <c r="D2" t="s">
        <v>2</v>
      </c>
      <c r="E2" t="s">
        <v>97</v>
      </c>
      <c r="F2" t="str">
        <f t="shared" ref="F2:F65" si="1">"insert into sysLocalizationText Values(" &amp;A2 &amp; "," &amp;C2 &amp; "," &amp; D2 &amp; "," &amp; E2 &amp; ",getdate(),getdate()," &amp; B2 &amp; ")"</f>
        <v>insert into sysLocalizationText Values(2002,'2002',     'Validation-Error',    'Erro na validação de dados.',getdate(),getdate(),2)</v>
      </c>
    </row>
    <row r="3" spans="1:14">
      <c r="A3">
        <v>2003</v>
      </c>
      <c r="B3" s="2">
        <v>2</v>
      </c>
      <c r="C3" t="str">
        <f t="shared" si="0"/>
        <v>'2003'</v>
      </c>
      <c r="D3" t="s">
        <v>4</v>
      </c>
      <c r="E3" t="s">
        <v>98</v>
      </c>
      <c r="F3" t="str">
        <f t="shared" si="1"/>
        <v>insert into sysLocalizationText Values(2003,'2003',     'Record-NotFound',    'O registro solicitado não foi encontrado.',getdate(),getdate(),2)</v>
      </c>
    </row>
    <row r="4" spans="1:14">
      <c r="A4">
        <v>2004</v>
      </c>
      <c r="B4" s="2">
        <v>2</v>
      </c>
      <c r="C4" t="str">
        <f t="shared" si="0"/>
        <v>'2004'</v>
      </c>
      <c r="D4" t="s">
        <v>6</v>
      </c>
      <c r="E4" t="s">
        <v>149</v>
      </c>
      <c r="F4" t="str">
        <f t="shared" si="1"/>
        <v>insert into sysLocalizationText Values(2004,'2004',     'Login-Invalid-Password',    'Senha inválida. Você ainda tem {0} tentativas antes da conta ser desativada.',getdate(),getdate(),2)</v>
      </c>
    </row>
    <row r="5" spans="1:14">
      <c r="A5">
        <v>2005</v>
      </c>
      <c r="B5" s="2">
        <v>2</v>
      </c>
      <c r="C5" t="str">
        <f t="shared" si="0"/>
        <v>'2005'</v>
      </c>
      <c r="D5" t="s">
        <v>8</v>
      </c>
      <c r="E5" t="s">
        <v>99</v>
      </c>
      <c r="F5" t="str">
        <f t="shared" si="1"/>
        <v>insert into sysLocalizationText Values(2005,'2005',     'Login-Attempts',    'Você já utilizou as tentativas de acesso e a conta foi desativada. Solicite a ativação.',getdate(),getdate(),2)</v>
      </c>
    </row>
    <row r="6" spans="1:14">
      <c r="A6">
        <v>2006</v>
      </c>
      <c r="B6" s="2">
        <v>2</v>
      </c>
      <c r="C6" t="str">
        <f t="shared" si="0"/>
        <v>'2006'</v>
      </c>
      <c r="D6" t="s">
        <v>10</v>
      </c>
      <c r="E6" t="s">
        <v>100</v>
      </c>
      <c r="F6" t="str">
        <f t="shared" si="1"/>
        <v>insert into sysLocalizationText Values(2006,'2006',     'Login-Inactive-Account',    'A conta associada ao Usuário não está ativa. Solicite a ativação da conta.',getdate(),getdate(),2)</v>
      </c>
    </row>
    <row r="7" spans="1:14">
      <c r="A7">
        <v>2007</v>
      </c>
      <c r="B7" s="2">
        <v>2</v>
      </c>
      <c r="C7" t="str">
        <f t="shared" si="0"/>
        <v>'2007'</v>
      </c>
      <c r="D7" t="s">
        <v>12</v>
      </c>
      <c r="E7" t="s">
        <v>101</v>
      </c>
      <c r="F7" t="str">
        <f t="shared" si="1"/>
        <v>insert into sysLocalizationText Values(2007,'2007',     'Login-Locked-Account',    'A conta associada ao Usuário está bloqueada. Contate o administrador do sistema.',getdate(),getdate(),2)</v>
      </c>
    </row>
    <row r="8" spans="1:14">
      <c r="A8">
        <v>2008</v>
      </c>
      <c r="B8" s="2">
        <v>2</v>
      </c>
      <c r="C8" t="str">
        <f t="shared" si="0"/>
        <v>'2008'</v>
      </c>
      <c r="D8" t="s">
        <v>14</v>
      </c>
      <c r="E8" t="s">
        <v>102</v>
      </c>
      <c r="F8" t="str">
        <f t="shared" si="1"/>
        <v>insert into sysLocalizationText Values(2008,'2008',     'Login-User-NotFound',    'Usuário não encontrado.',getdate(),getdate(),2)</v>
      </c>
    </row>
    <row r="9" spans="1:14">
      <c r="A9">
        <v>2009</v>
      </c>
      <c r="B9" s="2">
        <v>2</v>
      </c>
      <c r="C9" t="str">
        <f t="shared" si="0"/>
        <v>'2009'</v>
      </c>
      <c r="D9" t="s">
        <v>16</v>
      </c>
      <c r="E9" t="s">
        <v>103</v>
      </c>
      <c r="F9" t="str">
        <f t="shared" si="1"/>
        <v>insert into sysLocalizationText Values(2009,'2009',     'User-Exists',    'Já existe um usuário com o e-mail ',getdate(),getdate(),2)</v>
      </c>
    </row>
    <row r="10" spans="1:14">
      <c r="A10">
        <v>2010</v>
      </c>
      <c r="B10" s="2">
        <v>2</v>
      </c>
      <c r="C10" t="str">
        <f t="shared" si="0"/>
        <v>'2010'</v>
      </c>
      <c r="D10" t="s">
        <v>18</v>
      </c>
      <c r="E10" t="s">
        <v>104</v>
      </c>
      <c r="F10" t="str">
        <f t="shared" si="1"/>
        <v>insert into sysLocalizationText Values(2010,'2010',     'Email-Exists',    'O e-mail informado já existe.',getdate(),getdate(),2)</v>
      </c>
    </row>
    <row r="11" spans="1:14">
      <c r="A11">
        <v>2011</v>
      </c>
      <c r="B11" s="2">
        <v>2</v>
      </c>
      <c r="C11" t="str">
        <f t="shared" si="0"/>
        <v>'2011'</v>
      </c>
      <c r="D11" t="s">
        <v>20</v>
      </c>
      <c r="E11" t="s">
        <v>105</v>
      </c>
      <c r="F11" t="str">
        <f t="shared" si="1"/>
        <v>insert into sysLocalizationText Values(2011,'2011',     'Profile-NotBe-Null',    'O Perfil não pode ser nulo.',getdate(),getdate(),2)</v>
      </c>
    </row>
    <row r="12" spans="1:14">
      <c r="A12">
        <v>2012</v>
      </c>
      <c r="B12" s="2">
        <v>2</v>
      </c>
      <c r="C12" t="str">
        <f t="shared" si="0"/>
        <v>'2012'</v>
      </c>
      <c r="D12" t="s">
        <v>22</v>
      </c>
      <c r="E12" t="s">
        <v>106</v>
      </c>
      <c r="F12" t="str">
        <f t="shared" si="1"/>
        <v>insert into sysLocalizationText Values(2012,'2012',     'User-Error-Exclude-Childs',    'Houve um erro ao excluir os itens filhos (Roles).',getdate(),getdate(),2)</v>
      </c>
    </row>
    <row r="13" spans="1:14">
      <c r="A13">
        <v>2013</v>
      </c>
      <c r="B13" s="2">
        <v>2</v>
      </c>
      <c r="C13" t="str">
        <f t="shared" si="0"/>
        <v>'2013'</v>
      </c>
      <c r="D13" t="s">
        <v>24</v>
      </c>
      <c r="E13" t="s">
        <v>107</v>
      </c>
      <c r="F13" t="str">
        <f t="shared" si="1"/>
        <v>insert into sysLocalizationText Values(2013,'2013',     'User-Invalid-Password-Code',    'O código de autorização de troca de senha é inválido.',getdate(),getdate(),2)</v>
      </c>
    </row>
    <row r="14" spans="1:14">
      <c r="A14">
        <v>2014</v>
      </c>
      <c r="B14" s="2">
        <v>2</v>
      </c>
      <c r="C14" t="str">
        <f t="shared" si="0"/>
        <v>'2014'</v>
      </c>
      <c r="D14" t="s">
        <v>26</v>
      </c>
      <c r="E14" t="s">
        <v>108</v>
      </c>
      <c r="F14" t="str">
        <f t="shared" si="1"/>
        <v>insert into sysLocalizationText Values(2014,'2014',     'Account-Active',    'A conta associada ao Usuário já está ativa.',getdate(),getdate(),2)</v>
      </c>
    </row>
    <row r="15" spans="1:14">
      <c r="A15">
        <v>2015</v>
      </c>
      <c r="B15" s="2">
        <v>2</v>
      </c>
      <c r="C15" t="str">
        <f t="shared" si="0"/>
        <v>'2015'</v>
      </c>
      <c r="D15" t="s">
        <v>28</v>
      </c>
      <c r="E15" t="s">
        <v>109</v>
      </c>
      <c r="F15" t="str">
        <f t="shared" si="1"/>
        <v>insert into sysLocalizationText Values(2015,'2015',     'User-Invalid-Activation-Code',    'O código de autorização de ativação é inválido.',getdate(),getdate(),2)</v>
      </c>
    </row>
    <row r="16" spans="1:14">
      <c r="A16">
        <v>2016</v>
      </c>
      <c r="B16" s="2">
        <v>2</v>
      </c>
      <c r="C16" t="str">
        <f t="shared" si="0"/>
        <v>'2016'</v>
      </c>
      <c r="D16" t="s">
        <v>30</v>
      </c>
      <c r="E16" t="s">
        <v>110</v>
      </c>
      <c r="F16" t="str">
        <f t="shared" si="1"/>
        <v>insert into sysLocalizationText Values(2016,'2016',     'User-No-Image',    'Envie o arquivo da imagem.',getdate(),getdate(),2)</v>
      </c>
    </row>
    <row r="17" spans="1:6">
      <c r="A17">
        <v>2017</v>
      </c>
      <c r="B17" s="2">
        <v>2</v>
      </c>
      <c r="C17" t="str">
        <f t="shared" si="0"/>
        <v>'2017'</v>
      </c>
      <c r="D17" t="s">
        <v>32</v>
      </c>
      <c r="E17" t="s">
        <v>111</v>
      </c>
      <c r="F17" t="str">
        <f t="shared" si="1"/>
        <v>insert into sysLocalizationText Values(2017,'2017',     'User-Role-Exists',    'Esta Role já está associada ao usuário.',getdate(),getdate(),2)</v>
      </c>
    </row>
    <row r="18" spans="1:6">
      <c r="A18">
        <v>2018</v>
      </c>
      <c r="B18" s="2">
        <v>2</v>
      </c>
      <c r="C18" t="str">
        <f t="shared" si="0"/>
        <v>'2018'</v>
      </c>
      <c r="D18" t="s">
        <v>34</v>
      </c>
      <c r="E18" t="s">
        <v>112</v>
      </c>
      <c r="F18" t="str">
        <f t="shared" si="1"/>
        <v>insert into sysLocalizationText Values(2018,'2018',     'User-Role-No-Exists',    'Esta Role não pertence ao usuário.',getdate(),getdate(),2)</v>
      </c>
    </row>
    <row r="19" spans="1:6">
      <c r="A19">
        <v>2019</v>
      </c>
      <c r="B19" s="2">
        <v>2</v>
      </c>
      <c r="C19" t="str">
        <f t="shared" si="0"/>
        <v>'2019'</v>
      </c>
      <c r="D19" t="s">
        <v>36</v>
      </c>
      <c r="E19" t="s">
        <v>113</v>
      </c>
      <c r="F19" t="str">
        <f t="shared" si="1"/>
        <v>insert into sysLocalizationText Values(2019,'2019',     'Http-Unauthorized',    'Acesso não autorizado',getdate(),getdate(),2)</v>
      </c>
    </row>
    <row r="20" spans="1:6">
      <c r="A20">
        <v>2020</v>
      </c>
      <c r="B20" s="2">
        <v>2</v>
      </c>
      <c r="C20" t="str">
        <f t="shared" si="0"/>
        <v>'2020'</v>
      </c>
      <c r="D20" t="s">
        <v>38</v>
      </c>
      <c r="E20" t="s">
        <v>114</v>
      </c>
      <c r="F20" t="str">
        <f t="shared" si="1"/>
        <v>insert into sysLocalizationText Values(2020,'2020',     'Http-NotFound',    'O recurso não foi encontrado',getdate(),getdate(),2)</v>
      </c>
    </row>
    <row r="21" spans="1:6">
      <c r="A21">
        <v>2021</v>
      </c>
      <c r="B21" s="2">
        <v>2</v>
      </c>
      <c r="C21" t="str">
        <f t="shared" si="0"/>
        <v>'2021'</v>
      </c>
      <c r="D21" t="s">
        <v>40</v>
      </c>
      <c r="E21" t="s">
        <v>115</v>
      </c>
      <c r="F21" t="str">
        <f t="shared" si="1"/>
        <v>insert into sysLocalizationText Values(2021,'2021',     'Http-Forbidden',    'Perfil do usuário sem permissão de acesso',getdate(),getdate(),2)</v>
      </c>
    </row>
    <row r="22" spans="1:6">
      <c r="A22">
        <v>2022</v>
      </c>
      <c r="B22" s="2">
        <v>2</v>
      </c>
      <c r="C22" t="str">
        <f t="shared" si="0"/>
        <v>'2022'</v>
      </c>
      <c r="D22" t="s">
        <v>42</v>
      </c>
      <c r="E22" t="s">
        <v>116</v>
      </c>
      <c r="F22" t="str">
        <f t="shared" si="1"/>
        <v>insert into sysLocalizationText Values(2022,'2022',     'Http-500Error',    'Ocorreu um erro no processamento da requisição.',getdate(),getdate(),2)</v>
      </c>
    </row>
    <row r="23" spans="1:6">
      <c r="A23">
        <v>2023</v>
      </c>
      <c r="B23" s="2">
        <v>2</v>
      </c>
      <c r="C23" t="str">
        <f t="shared" si="0"/>
        <v>'2023'</v>
      </c>
      <c r="D23" t="s">
        <v>44</v>
      </c>
      <c r="E23" t="s">
        <v>117</v>
      </c>
      <c r="F23" t="str">
        <f t="shared" si="1"/>
        <v>insert into sysLocalizationText Values(2023,'2023',     'Http-ServiceUnavailable',    'O serviço solicitado está indisponível.',getdate(),getdate(),2)</v>
      </c>
    </row>
    <row r="24" spans="1:6">
      <c r="A24">
        <v>2024</v>
      </c>
      <c r="B24" s="2">
        <v>2</v>
      </c>
      <c r="C24" t="str">
        <f t="shared" si="0"/>
        <v>'2024'</v>
      </c>
      <c r="D24" t="s">
        <v>46</v>
      </c>
      <c r="E24" t="s">
        <v>118</v>
      </c>
      <c r="F24" t="str">
        <f t="shared" si="1"/>
        <v>insert into sysLocalizationText Values(2024,'2024',     'API-Unexpected-Exception',    'Erro inesperado não identificado GetInnerExceptions@f2]',getdate(),getdate(),2)</v>
      </c>
    </row>
    <row r="25" spans="1:6">
      <c r="A25">
        <v>2025</v>
      </c>
      <c r="B25" s="2">
        <v>2</v>
      </c>
      <c r="C25" t="str">
        <f t="shared" si="0"/>
        <v>'2025'</v>
      </c>
      <c r="D25" t="s">
        <v>48</v>
      </c>
      <c r="E25" t="s">
        <v>119</v>
      </c>
      <c r="F25" t="str">
        <f t="shared" si="1"/>
        <v>insert into sysLocalizationText Values(2025,'2025',     'ShortDayName-1',    'Dom',getdate(),getdate(),2)</v>
      </c>
    </row>
    <row r="26" spans="1:6">
      <c r="A26">
        <v>2026</v>
      </c>
      <c r="B26" s="2">
        <v>2</v>
      </c>
      <c r="C26" t="str">
        <f t="shared" si="0"/>
        <v>'2026'</v>
      </c>
      <c r="D26" t="s">
        <v>50</v>
      </c>
      <c r="E26" t="s">
        <v>120</v>
      </c>
      <c r="F26" t="str">
        <f t="shared" si="1"/>
        <v>insert into sysLocalizationText Values(2026,'2026',     'ShortDayName-2',    'Seg',getdate(),getdate(),2)</v>
      </c>
    </row>
    <row r="27" spans="1:6">
      <c r="A27">
        <v>2027</v>
      </c>
      <c r="B27" s="2">
        <v>2</v>
      </c>
      <c r="C27" t="str">
        <f t="shared" si="0"/>
        <v>'2027'</v>
      </c>
      <c r="D27" t="s">
        <v>52</v>
      </c>
      <c r="E27" t="s">
        <v>121</v>
      </c>
      <c r="F27" t="str">
        <f t="shared" si="1"/>
        <v>insert into sysLocalizationText Values(2027,'2027',     'ShortDayName-3',    'Ter',getdate(),getdate(),2)</v>
      </c>
    </row>
    <row r="28" spans="1:6">
      <c r="A28">
        <v>2028</v>
      </c>
      <c r="B28" s="2">
        <v>2</v>
      </c>
      <c r="C28" t="str">
        <f t="shared" si="0"/>
        <v>'2028'</v>
      </c>
      <c r="D28" t="s">
        <v>54</v>
      </c>
      <c r="E28" t="s">
        <v>122</v>
      </c>
      <c r="F28" t="str">
        <f t="shared" si="1"/>
        <v>insert into sysLocalizationText Values(2028,'2028',     'ShortDayName-4',    'Qua',getdate(),getdate(),2)</v>
      </c>
    </row>
    <row r="29" spans="1:6">
      <c r="A29">
        <v>2029</v>
      </c>
      <c r="B29" s="2">
        <v>2</v>
      </c>
      <c r="C29" t="str">
        <f t="shared" si="0"/>
        <v>'2029'</v>
      </c>
      <c r="D29" t="s">
        <v>56</v>
      </c>
      <c r="E29" t="s">
        <v>123</v>
      </c>
      <c r="F29" t="str">
        <f t="shared" si="1"/>
        <v>insert into sysLocalizationText Values(2029,'2029',     'ShortDayName-5',    'Qui',getdate(),getdate(),2)</v>
      </c>
    </row>
    <row r="30" spans="1:6">
      <c r="A30">
        <v>2030</v>
      </c>
      <c r="B30" s="2">
        <v>2</v>
      </c>
      <c r="C30" t="str">
        <f t="shared" si="0"/>
        <v>'2030'</v>
      </c>
      <c r="D30" t="s">
        <v>58</v>
      </c>
      <c r="E30" t="s">
        <v>124</v>
      </c>
      <c r="F30" t="str">
        <f t="shared" si="1"/>
        <v>insert into sysLocalizationText Values(2030,'2030',     'ShortDayName-6',    'Sex',getdate(),getdate(),2)</v>
      </c>
    </row>
    <row r="31" spans="1:6">
      <c r="A31">
        <v>2031</v>
      </c>
      <c r="B31" s="2">
        <v>2</v>
      </c>
      <c r="C31" t="str">
        <f t="shared" si="0"/>
        <v>'2031'</v>
      </c>
      <c r="D31" t="s">
        <v>60</v>
      </c>
      <c r="E31" t="s">
        <v>125</v>
      </c>
      <c r="F31" t="str">
        <f t="shared" si="1"/>
        <v>insert into sysLocalizationText Values(2031,'2031',     'ShortDayName-7',    'Sáb',getdate(),getdate(),2)</v>
      </c>
    </row>
    <row r="32" spans="1:6">
      <c r="A32">
        <v>2032</v>
      </c>
      <c r="B32" s="2">
        <v>2</v>
      </c>
      <c r="C32" t="str">
        <f t="shared" si="0"/>
        <v>'2032'</v>
      </c>
      <c r="D32" t="s">
        <v>62</v>
      </c>
      <c r="E32" t="s">
        <v>126</v>
      </c>
      <c r="F32" t="str">
        <f t="shared" si="1"/>
        <v>insert into sysLocalizationText Values(2032,'2032',     'MonthName-1',    'JANEIRO',getdate(),getdate(),2)</v>
      </c>
    </row>
    <row r="33" spans="1:6">
      <c r="A33">
        <v>2033</v>
      </c>
      <c r="B33" s="2">
        <v>2</v>
      </c>
      <c r="C33" t="str">
        <f t="shared" si="0"/>
        <v>'2033'</v>
      </c>
      <c r="D33" t="s">
        <v>64</v>
      </c>
      <c r="E33" t="s">
        <v>127</v>
      </c>
      <c r="F33" t="str">
        <f t="shared" si="1"/>
        <v>insert into sysLocalizationText Values(2033,'2033',     'MonthName-2',    'FEVEREIRO',getdate(),getdate(),2)</v>
      </c>
    </row>
    <row r="34" spans="1:6">
      <c r="A34">
        <v>2034</v>
      </c>
      <c r="B34" s="2">
        <v>2</v>
      </c>
      <c r="C34" t="str">
        <f t="shared" si="0"/>
        <v>'2034'</v>
      </c>
      <c r="D34" t="s">
        <v>66</v>
      </c>
      <c r="E34" t="s">
        <v>128</v>
      </c>
      <c r="F34" t="str">
        <f t="shared" si="1"/>
        <v>insert into sysLocalizationText Values(2034,'2034',     'MonthName-3',    'MARÇO',getdate(),getdate(),2)</v>
      </c>
    </row>
    <row r="35" spans="1:6">
      <c r="A35">
        <v>2035</v>
      </c>
      <c r="B35" s="2">
        <v>2</v>
      </c>
      <c r="C35" t="str">
        <f t="shared" si="0"/>
        <v>'2035'</v>
      </c>
      <c r="D35" t="s">
        <v>68</v>
      </c>
      <c r="E35" t="s">
        <v>129</v>
      </c>
      <c r="F35" t="str">
        <f t="shared" si="1"/>
        <v>insert into sysLocalizationText Values(2035,'2035',     'MonthName-4',    'ABRIL',getdate(),getdate(),2)</v>
      </c>
    </row>
    <row r="36" spans="1:6">
      <c r="A36">
        <v>2036</v>
      </c>
      <c r="B36" s="2">
        <v>2</v>
      </c>
      <c r="C36" t="str">
        <f t="shared" si="0"/>
        <v>'2036'</v>
      </c>
      <c r="D36" t="s">
        <v>70</v>
      </c>
      <c r="E36" t="s">
        <v>130</v>
      </c>
      <c r="F36" t="str">
        <f t="shared" si="1"/>
        <v>insert into sysLocalizationText Values(2036,'2036',     'MonthName-5',    'MAIO',getdate(),getdate(),2)</v>
      </c>
    </row>
    <row r="37" spans="1:6">
      <c r="A37">
        <v>2037</v>
      </c>
      <c r="B37" s="2">
        <v>2</v>
      </c>
      <c r="C37" t="str">
        <f t="shared" si="0"/>
        <v>'2037'</v>
      </c>
      <c r="D37" t="s">
        <v>72</v>
      </c>
      <c r="E37" t="s">
        <v>131</v>
      </c>
      <c r="F37" t="str">
        <f t="shared" si="1"/>
        <v>insert into sysLocalizationText Values(2037,'2037',     'MonthName-6',    'JUNHO',getdate(),getdate(),2)</v>
      </c>
    </row>
    <row r="38" spans="1:6">
      <c r="A38">
        <v>2038</v>
      </c>
      <c r="B38" s="2">
        <v>2</v>
      </c>
      <c r="C38" t="str">
        <f t="shared" si="0"/>
        <v>'2038'</v>
      </c>
      <c r="D38" t="s">
        <v>74</v>
      </c>
      <c r="E38" t="s">
        <v>132</v>
      </c>
      <c r="F38" t="str">
        <f t="shared" si="1"/>
        <v>insert into sysLocalizationText Values(2038,'2038',     'MonthName-7',    'JULHO',getdate(),getdate(),2)</v>
      </c>
    </row>
    <row r="39" spans="1:6">
      <c r="A39">
        <v>2039</v>
      </c>
      <c r="B39" s="2">
        <v>2</v>
      </c>
      <c r="C39" t="str">
        <f t="shared" si="0"/>
        <v>'2039'</v>
      </c>
      <c r="D39" t="s">
        <v>76</v>
      </c>
      <c r="E39" t="s">
        <v>133</v>
      </c>
      <c r="F39" t="str">
        <f t="shared" si="1"/>
        <v>insert into sysLocalizationText Values(2039,'2039',     'MonthName-8',    'AGOSTO',getdate(),getdate(),2)</v>
      </c>
    </row>
    <row r="40" spans="1:6">
      <c r="A40">
        <v>2040</v>
      </c>
      <c r="B40" s="2">
        <v>2</v>
      </c>
      <c r="C40" t="str">
        <f t="shared" si="0"/>
        <v>'2040'</v>
      </c>
      <c r="D40" t="s">
        <v>78</v>
      </c>
      <c r="E40" t="s">
        <v>134</v>
      </c>
      <c r="F40" t="str">
        <f t="shared" si="1"/>
        <v>insert into sysLocalizationText Values(2040,'2040',     'MonthName-9',    'SETEMBRO',getdate(),getdate(),2)</v>
      </c>
    </row>
    <row r="41" spans="1:6">
      <c r="A41">
        <v>2041</v>
      </c>
      <c r="B41" s="2">
        <v>2</v>
      </c>
      <c r="C41" t="str">
        <f t="shared" si="0"/>
        <v>'2041'</v>
      </c>
      <c r="D41" t="s">
        <v>80</v>
      </c>
      <c r="E41" t="s">
        <v>135</v>
      </c>
      <c r="F41" t="str">
        <f t="shared" si="1"/>
        <v>insert into sysLocalizationText Values(2041,'2041',     'MonthName-10',    'OUTUBRO',getdate(),getdate(),2)</v>
      </c>
    </row>
    <row r="42" spans="1:6">
      <c r="A42">
        <v>2042</v>
      </c>
      <c r="B42" s="2">
        <v>2</v>
      </c>
      <c r="C42" t="str">
        <f t="shared" si="0"/>
        <v>'2042'</v>
      </c>
      <c r="D42" t="s">
        <v>82</v>
      </c>
      <c r="E42" t="s">
        <v>136</v>
      </c>
      <c r="F42" t="str">
        <f t="shared" si="1"/>
        <v>insert into sysLocalizationText Values(2042,'2042',     'MonthName-11',    'NOVEMBRO',getdate(),getdate(),2)</v>
      </c>
    </row>
    <row r="43" spans="1:6">
      <c r="A43">
        <v>2043</v>
      </c>
      <c r="B43" s="2">
        <v>2</v>
      </c>
      <c r="C43" t="str">
        <f t="shared" si="0"/>
        <v>'2043'</v>
      </c>
      <c r="D43" t="s">
        <v>84</v>
      </c>
      <c r="E43" t="s">
        <v>137</v>
      </c>
      <c r="F43" t="str">
        <f t="shared" si="1"/>
        <v>insert into sysLocalizationText Values(2043,'2043',     'MonthName-12',    'DEZEMBRO',getdate(),getdate(),2)</v>
      </c>
    </row>
    <row r="44" spans="1:6">
      <c r="A44">
        <v>2044</v>
      </c>
      <c r="B44" s="2">
        <v>2</v>
      </c>
      <c r="C44" t="str">
        <f t="shared" si="0"/>
        <v>'2044'</v>
      </c>
      <c r="D44" t="s">
        <v>86</v>
      </c>
      <c r="E44" t="s">
        <v>138</v>
      </c>
      <c r="F44" t="str">
        <f t="shared" si="1"/>
        <v>insert into sysLocalizationText Values(2044,'2044',     'Validation-NotNull',    'não pode ser nulo.',getdate(),getdate(),2)</v>
      </c>
    </row>
    <row r="45" spans="1:6">
      <c r="A45">
        <v>2045</v>
      </c>
      <c r="B45" s="2">
        <v>2</v>
      </c>
      <c r="C45" t="str">
        <f t="shared" si="0"/>
        <v>'2045'</v>
      </c>
      <c r="D45" t="s">
        <v>88</v>
      </c>
      <c r="E45" t="s">
        <v>141</v>
      </c>
      <c r="F45" t="str">
        <f t="shared" si="1"/>
        <v>insert into sysLocalizationText Values(2045,'2045',     'Validation-Max-Characters',    'O campo {0} não pode ter mais de maxlength caracteres.',getdate(),getdate(),2)</v>
      </c>
    </row>
    <row r="46" spans="1:6">
      <c r="A46">
        <v>2046</v>
      </c>
      <c r="B46" s="2">
        <v>2</v>
      </c>
      <c r="C46" t="str">
        <f t="shared" si="0"/>
        <v>'2046'</v>
      </c>
      <c r="D46" t="s">
        <v>89</v>
      </c>
      <c r="E46" t="s">
        <v>142</v>
      </c>
      <c r="F46" t="str">
        <f t="shared" si="1"/>
        <v>insert into sysLocalizationText Values(2046,'2046',     'Validation-Invalid-Field',    'O campo {0} é inválido.',getdate(),getdate(),2)</v>
      </c>
    </row>
    <row r="47" spans="1:6">
      <c r="A47">
        <v>2047</v>
      </c>
      <c r="B47" s="2">
        <v>2</v>
      </c>
      <c r="C47" t="str">
        <f t="shared" si="0"/>
        <v>'2047'</v>
      </c>
      <c r="D47" t="s">
        <v>90</v>
      </c>
      <c r="E47" t="s">
        <v>143</v>
      </c>
      <c r="F47" t="str">
        <f t="shared" si="1"/>
        <v>insert into sysLocalizationText Values(2047,'2047',     'Validation-Invalid-UserName',    'O campo {0} é inválido. Não use caracteres especiais ou espaços.',getdate(),getdate(),2)</v>
      </c>
    </row>
    <row r="48" spans="1:6">
      <c r="A48">
        <v>2048</v>
      </c>
      <c r="B48" s="2">
        <v>2</v>
      </c>
      <c r="C48" t="str">
        <f t="shared" si="0"/>
        <v>'2048'</v>
      </c>
      <c r="D48" t="s">
        <v>91</v>
      </c>
      <c r="E48" t="s">
        <v>144</v>
      </c>
      <c r="F48" t="str">
        <f t="shared" si="1"/>
        <v>insert into sysLocalizationText Values(2048,'2048',     'Validation-Unique-Value',    'O campo {0} é inválido. O valor informado deve ser único.',getdate(),getdate(),2)</v>
      </c>
    </row>
    <row r="49" spans="1:6">
      <c r="A49">
        <v>2049</v>
      </c>
      <c r="B49" s="2">
        <v>2</v>
      </c>
      <c r="C49" t="str">
        <f t="shared" si="0"/>
        <v>'2049'</v>
      </c>
      <c r="D49" t="s">
        <v>92</v>
      </c>
      <c r="E49" t="s">
        <v>139</v>
      </c>
      <c r="F49" t="str">
        <f t="shared" si="1"/>
        <v>insert into sysLocalizationText Values(2049,'2049',     'User-Instance-Exists',    'Esta Instância já está associada ao Usuário.',getdate(),getdate(),2)</v>
      </c>
    </row>
    <row r="50" spans="1:6">
      <c r="A50">
        <v>2050</v>
      </c>
      <c r="B50" s="2">
        <v>2</v>
      </c>
      <c r="C50" t="str">
        <f t="shared" si="0"/>
        <v>'2050'</v>
      </c>
      <c r="D50" t="s">
        <v>94</v>
      </c>
      <c r="E50" t="s">
        <v>140</v>
      </c>
      <c r="F50" t="str">
        <f t="shared" si="1"/>
        <v>insert into sysLocalizationText Values(2050,'2050',     'User-Instance-No-Exists',    'Esta Instância não pertence ao Usuário.',getdate(),getdate(),2)</v>
      </c>
    </row>
    <row r="51" spans="1:6">
      <c r="A51">
        <v>2051</v>
      </c>
      <c r="B51" s="2">
        <v>2</v>
      </c>
      <c r="C51" t="str">
        <f t="shared" si="0"/>
        <v>'2051'</v>
      </c>
      <c r="D51" t="str">
        <f>$N$1 &amp; "User-PageTitle" &amp; $N$1</f>
        <v>'User-PageTitle'</v>
      </c>
      <c r="E51" t="str">
        <f>$N$1 &amp; "Gerenciamento de Usuários" &amp; $N$1</f>
        <v>'Gerenciamento de Usuários'</v>
      </c>
      <c r="F51" t="str">
        <f t="shared" si="1"/>
        <v>insert into sysLocalizationText Values(2051,'2051','User-PageTitle','Gerenciamento de Usuários',getdate(),getdate(),2)</v>
      </c>
    </row>
    <row r="52" spans="1:6">
      <c r="A52">
        <v>2052</v>
      </c>
      <c r="B52" s="2">
        <v>2</v>
      </c>
      <c r="C52" t="str">
        <f t="shared" si="0"/>
        <v>'2052'</v>
      </c>
      <c r="D52" s="1" t="str">
        <f>N1 &amp; "SearchButtonLabel" &amp; N1</f>
        <v>'SearchButtonLabel'</v>
      </c>
      <c r="E52" t="str">
        <f>N1 &amp; "Pesquisar" &amp; N1</f>
        <v>'Pesquisar'</v>
      </c>
      <c r="F52" t="str">
        <f t="shared" si="1"/>
        <v>insert into sysLocalizationText Values(2052,'2052','SearchButtonLabel','Pesquisar',getdate(),getdate(),2)</v>
      </c>
    </row>
    <row r="53" spans="1:6">
      <c r="A53">
        <v>2053</v>
      </c>
      <c r="B53" s="2">
        <v>2</v>
      </c>
      <c r="C53" t="str">
        <f t="shared" si="0"/>
        <v>'2053'</v>
      </c>
      <c r="D53" t="str">
        <f>N1 &amp; "SearchingLabel" &amp; N1</f>
        <v>'SearchingLabel'</v>
      </c>
      <c r="E53" t="str">
        <f>N1&amp;"Pesquisando..." &amp; N1</f>
        <v>'Pesquisando...'</v>
      </c>
      <c r="F53" t="str">
        <f t="shared" si="1"/>
        <v>insert into sysLocalizationText Values(2053,'2053','SearchingLabel','Pesquisando...',getdate(),getdate(),2)</v>
      </c>
    </row>
    <row r="54" spans="1:6">
      <c r="A54">
        <v>2054</v>
      </c>
      <c r="B54" s="2">
        <v>2</v>
      </c>
      <c r="C54" t="str">
        <f t="shared" si="0"/>
        <v>'2054'</v>
      </c>
      <c r="D54" t="str">
        <f>N1 &amp; "InsertingLoadingLabel" &amp; N1</f>
        <v>'InsertingLoadingLabel'</v>
      </c>
      <c r="E54" t="str">
        <f>N1 &amp; "Inserindo..." &amp; N1</f>
        <v>'Inserindo...'</v>
      </c>
      <c r="F54" t="str">
        <f t="shared" si="1"/>
        <v>insert into sysLocalizationText Values(2054,'2054','InsertingLoadingLabel','Inserindo...',getdate(),getdate(),2)</v>
      </c>
    </row>
    <row r="55" spans="1:6">
      <c r="A55">
        <v>2055</v>
      </c>
      <c r="B55" s="2">
        <v>2</v>
      </c>
      <c r="C55" t="str">
        <f t="shared" si="0"/>
        <v>'2055'</v>
      </c>
      <c r="D55" t="str">
        <f>N1 &amp; "SearchResultLabel" &amp; N1</f>
        <v>'SearchResultLabel'</v>
      </c>
      <c r="E55" t="str">
        <f>N1 &amp; "Resultado da Busca" &amp; N1</f>
        <v>'Resultado da Busca'</v>
      </c>
      <c r="F55" t="str">
        <f t="shared" si="1"/>
        <v>insert into sysLocalizationText Values(2055,'2055','SearchResultLabel','Resultado da Busca',getdate(),getdate(),2)</v>
      </c>
    </row>
    <row r="56" spans="1:6">
      <c r="A56">
        <v>2056</v>
      </c>
      <c r="B56" s="2">
        <v>2</v>
      </c>
      <c r="C56" t="str">
        <f t="shared" si="0"/>
        <v>'2056'</v>
      </c>
      <c r="D56" t="str">
        <f>N1 &amp; "DetailsLabel" &amp; N1</f>
        <v>'DetailsLabel'</v>
      </c>
      <c r="E56" t="str">
        <f>N1 &amp; "Detalhes" &amp; N1</f>
        <v>'Detalhes'</v>
      </c>
      <c r="F56" t="str">
        <f t="shared" si="1"/>
        <v>insert into sysLocalizationText Values(2056,'2056','DetailsLabel','Detalhes',getdate(),getdate(),2)</v>
      </c>
    </row>
    <row r="57" spans="1:6">
      <c r="A57">
        <v>2057</v>
      </c>
      <c r="B57" s="2">
        <v>2</v>
      </c>
      <c r="C57" t="str">
        <f t="shared" si="0"/>
        <v>'2057'</v>
      </c>
      <c r="D57" t="str">
        <f>N1&amp;"NoRecordsFound"&amp;N1</f>
        <v>'NoRecordsFound'</v>
      </c>
      <c r="E57" t="str">
        <f>N1 &amp; "Nenhum registro encontrado" &amp; N1</f>
        <v>'Nenhum registro encontrado'</v>
      </c>
      <c r="F57" t="str">
        <f t="shared" si="1"/>
        <v>insert into sysLocalizationText Values(2057,'2057','NoRecordsFound','Nenhum registro encontrado',getdate(),getdate(),2)</v>
      </c>
    </row>
    <row r="58" spans="1:6">
      <c r="A58">
        <v>2058</v>
      </c>
      <c r="B58" s="2">
        <v>2</v>
      </c>
      <c r="C58" t="str">
        <f t="shared" si="0"/>
        <v>'2058'</v>
      </c>
      <c r="D58" t="str">
        <f>N1 &amp; "LoadingPage" &amp; N1</f>
        <v>'LoadingPage'</v>
      </c>
      <c r="E58" t="str">
        <f>N1 &amp; "Carregando. Aguarde..." &amp; N1</f>
        <v>'Carregando. Aguarde...'</v>
      </c>
      <c r="F58" t="str">
        <f t="shared" si="1"/>
        <v>insert into sysLocalizationText Values(2058,'2058','LoadingPage','Carregando. Aguarde...',getdate(),getdate(),2)</v>
      </c>
    </row>
    <row r="59" spans="1:6">
      <c r="A59">
        <v>2059</v>
      </c>
      <c r="B59" s="2">
        <v>2</v>
      </c>
      <c r="C59" t="str">
        <f t="shared" si="0"/>
        <v>'2059'</v>
      </c>
      <c r="D59" t="str">
        <f>N1 &amp; "LoadingData" &amp; N1</f>
        <v>'LoadingData'</v>
      </c>
      <c r="E59" t="str">
        <f>N1 &amp; "Carregando a página. Aguarde..." &amp; N1</f>
        <v>'Carregando a página. Aguarde...'</v>
      </c>
      <c r="F59" t="str">
        <f t="shared" si="1"/>
        <v>insert into sysLocalizationText Values(2059,'2059','LoadingData','Carregando a página. Aguarde...',getdate(),getdate(),2)</v>
      </c>
    </row>
    <row r="60" spans="1:6">
      <c r="A60">
        <v>2060</v>
      </c>
      <c r="B60" s="2">
        <v>2</v>
      </c>
      <c r="C60" t="str">
        <f t="shared" si="0"/>
        <v>'2060'</v>
      </c>
      <c r="D60" t="str">
        <f>N1 &amp; "ErrorOnExecuteSearch" &amp; N1</f>
        <v>'ErrorOnExecuteSearch'</v>
      </c>
      <c r="E60" t="str">
        <f>N1 &amp; "Erro ao efetuar a busca" &amp; N1</f>
        <v>'Erro ao efetuar a busca'</v>
      </c>
      <c r="F60" t="str">
        <f t="shared" si="1"/>
        <v>insert into sysLocalizationText Values(2060,'2060','ErrorOnExecuteSearch','Erro ao efetuar a busca',getdate(),getdate(),2)</v>
      </c>
    </row>
    <row r="61" spans="1:6">
      <c r="A61">
        <v>2061</v>
      </c>
      <c r="B61" s="2">
        <v>2</v>
      </c>
      <c r="C61" t="str">
        <f t="shared" si="0"/>
        <v>'2061'</v>
      </c>
      <c r="D61" t="str">
        <f>N1 &amp; "ErrorOnReturnData" &amp; N1</f>
        <v>'ErrorOnReturnData'</v>
      </c>
      <c r="E61" t="str">
        <f>N1 &amp; "Erro ao retornar dados" &amp; N1</f>
        <v>'Erro ao retornar dados'</v>
      </c>
      <c r="F61" t="str">
        <f t="shared" si="1"/>
        <v>insert into sysLocalizationText Values(2061,'2061','ErrorOnReturnData','Erro ao retornar dados',getdate(),getdate(),2)</v>
      </c>
    </row>
    <row r="62" spans="1:6">
      <c r="A62">
        <v>2062</v>
      </c>
      <c r="B62" s="2">
        <v>2</v>
      </c>
      <c r="C62" t="str">
        <f t="shared" si="0"/>
        <v>'2062'</v>
      </c>
      <c r="D62" t="str">
        <f>N1 &amp; "ErrorOnCreateNewRecord" &amp; N1</f>
        <v>'ErrorOnCreateNewRecord'</v>
      </c>
      <c r="E62" t="str">
        <f>N1 &amp; "Erro ao criar registro" &amp; N1</f>
        <v>'Erro ao criar registro'</v>
      </c>
      <c r="F62" t="str">
        <f t="shared" si="1"/>
        <v>insert into sysLocalizationText Values(2062,'2062','ErrorOnCreateNewRecord','Erro ao criar registro',getdate(),getdate(),2)</v>
      </c>
    </row>
    <row r="63" spans="1:6">
      <c r="A63">
        <v>2063</v>
      </c>
      <c r="B63" s="2">
        <v>2</v>
      </c>
      <c r="C63" t="str">
        <f t="shared" si="0"/>
        <v>'2063'</v>
      </c>
      <c r="D63" t="str">
        <f>N1 &amp; "AfterSaveAnswering" &amp; N1</f>
        <v>'AfterSaveAnswering'</v>
      </c>
      <c r="E63" t="str">
        <f>N1 &amp; "O novo registro foi criado com sucesso. Deseja continuar inserindo ?" &amp; N1</f>
        <v>'O novo registro foi criado com sucesso. Deseja continuar inserindo ?'</v>
      </c>
      <c r="F63" t="str">
        <f t="shared" si="1"/>
        <v>insert into sysLocalizationText Values(2063,'2063','AfterSaveAnswering','O novo registro foi criado com sucesso. Deseja continuar inserindo ?',getdate(),getdate(),2)</v>
      </c>
    </row>
    <row r="64" spans="1:6">
      <c r="A64">
        <v>2064</v>
      </c>
      <c r="B64" s="2">
        <v>2</v>
      </c>
      <c r="C64" t="str">
        <f t="shared" si="0"/>
        <v>'2064'</v>
      </c>
      <c r="D64" t="str">
        <f>N1 &amp; "NoticeLabel" &amp; N1</f>
        <v>'NoticeLabel'</v>
      </c>
      <c r="E64" t="str">
        <f>N1 &amp; "Aviso" &amp; N1</f>
        <v>'Aviso'</v>
      </c>
      <c r="F64" t="str">
        <f t="shared" si="1"/>
        <v>insert into sysLocalizationText Values(2064,'2064','NoticeLabel','Aviso',getdate(),getdate(),2)</v>
      </c>
    </row>
    <row r="65" spans="1:6">
      <c r="A65">
        <v>2065</v>
      </c>
      <c r="B65" s="2">
        <v>2</v>
      </c>
      <c r="C65" t="str">
        <f t="shared" si="0"/>
        <v>'2065'</v>
      </c>
      <c r="D65" t="str">
        <f>$N$1 &amp; "SuccessLabel" &amp; $N$1</f>
        <v>'SuccessLabel'</v>
      </c>
      <c r="E65" t="str">
        <f>N1 &amp; "Sucesso" &amp; N1</f>
        <v>'Sucesso'</v>
      </c>
      <c r="F65" t="str">
        <f t="shared" si="1"/>
        <v>insert into sysLocalizationText Values(2065,'2065','SuccessLabel','Sucesso',getdate(),getdate(),2)</v>
      </c>
    </row>
    <row r="66" spans="1:6">
      <c r="A66">
        <v>2066</v>
      </c>
      <c r="B66" s="2">
        <v>2</v>
      </c>
      <c r="C66" t="str">
        <f t="shared" ref="C66:C169" si="2">"'" &amp; A66 &amp; "'"</f>
        <v>'2066'</v>
      </c>
      <c r="D66" t="str">
        <f>$N$1 &amp; "SuccessSaveMessage" &amp; $N$1</f>
        <v>'SuccessSaveMessage'</v>
      </c>
      <c r="E66" t="str">
        <f>$N$1 &amp; "O registro foi salvo com sucesso." &amp; $N$1</f>
        <v>'O registro foi salvo com sucesso.'</v>
      </c>
      <c r="F66" t="str">
        <f t="shared" ref="F66:F129" si="3">"insert into sysLocalizationText Values(" &amp;A66 &amp; "," &amp;C66 &amp; "," &amp; D66 &amp; "," &amp; E66 &amp; ",getdate(),getdate()," &amp; B66 &amp; ")"</f>
        <v>insert into sysLocalizationText Values(2066,'2066','SuccessSaveMessage','O registro foi salvo com sucesso.',getdate(),getdate(),2)</v>
      </c>
    </row>
    <row r="67" spans="1:6">
      <c r="A67">
        <v>2067</v>
      </c>
      <c r="B67" s="2">
        <v>2</v>
      </c>
      <c r="C67" t="str">
        <f t="shared" si="2"/>
        <v>'2067'</v>
      </c>
      <c r="D67" t="str">
        <f>$N$1 &amp; "Email-Label" &amp; $N$1</f>
        <v>'Email-Label'</v>
      </c>
      <c r="E67" t="str">
        <f>$N$1 &amp; "E-mail" &amp; $N$1</f>
        <v>'E-mail'</v>
      </c>
      <c r="F67" t="str">
        <f t="shared" si="3"/>
        <v>insert into sysLocalizationText Values(2067,'2067','Email-Label','E-mail',getdate(),getdate(),2)</v>
      </c>
    </row>
    <row r="68" spans="1:6">
      <c r="A68">
        <v>2068</v>
      </c>
      <c r="B68" s="2">
        <v>2</v>
      </c>
      <c r="C68" t="str">
        <f t="shared" si="2"/>
        <v>'2068'</v>
      </c>
      <c r="D68" t="str">
        <f>$N$1 &amp; "UserName-Label" &amp; $N$1</f>
        <v>'UserName-Label'</v>
      </c>
      <c r="E68" t="str">
        <f>$N$1 &amp; "Nome de Usuário" &amp; $N$1</f>
        <v>'Nome de Usuário'</v>
      </c>
      <c r="F68" t="str">
        <f t="shared" si="3"/>
        <v>insert into sysLocalizationText Values(2068,'2068','UserName-Label','Nome de Usuário',getdate(),getdate(),2)</v>
      </c>
    </row>
    <row r="69" spans="1:6">
      <c r="A69">
        <v>2069</v>
      </c>
      <c r="B69" s="2">
        <v>2</v>
      </c>
      <c r="C69" t="str">
        <f t="shared" si="2"/>
        <v>'2069'</v>
      </c>
      <c r="D69" t="str">
        <f>$N$1 &amp; "Password-Label" &amp; $N$1</f>
        <v>'Password-Label'</v>
      </c>
      <c r="E69" t="str">
        <f>$N$1 &amp; "Senha" &amp; $N$1</f>
        <v>'Senha'</v>
      </c>
      <c r="F69" t="str">
        <f t="shared" si="3"/>
        <v>insert into sysLocalizationText Values(2069,'2069','Password-Label','Senha',getdate(),getdate(),2)</v>
      </c>
    </row>
    <row r="70" spans="1:6">
      <c r="A70">
        <v>2070</v>
      </c>
      <c r="B70" s="2">
        <v>2</v>
      </c>
      <c r="C70" t="str">
        <f t="shared" si="2"/>
        <v>'2070'</v>
      </c>
      <c r="D70" t="str">
        <f>$N$1 &amp; "Instance-Label" &amp; $N$1</f>
        <v>'Instance-Label'</v>
      </c>
      <c r="E70" t="str">
        <f>$N$1 &amp; "Instância" &amp; $N$1</f>
        <v>'Instância'</v>
      </c>
      <c r="F70" t="str">
        <f t="shared" si="3"/>
        <v>insert into sysLocalizationText Values(2070,'2070','Instance-Label','Instância',getdate(),getdate(),2)</v>
      </c>
    </row>
    <row r="71" spans="1:6">
      <c r="A71">
        <v>2071</v>
      </c>
      <c r="B71" s="2">
        <v>2</v>
      </c>
      <c r="C71" t="str">
        <f t="shared" si="2"/>
        <v>'2071'</v>
      </c>
      <c r="D71" t="str">
        <f>$N$1 &amp; "Role-Label" &amp; $N$1</f>
        <v>'Role-Label'</v>
      </c>
      <c r="E71" t="str">
        <f>$N$1 &amp; "Perfim" &amp; $N$1</f>
        <v>'Perfim'</v>
      </c>
      <c r="F71" t="str">
        <f t="shared" si="3"/>
        <v>insert into sysLocalizationText Values(2071,'2071','Role-Label','Perfim',getdate(),getdate(),2)</v>
      </c>
    </row>
    <row r="72" spans="1:6">
      <c r="A72">
        <v>2072</v>
      </c>
      <c r="B72" s="2">
        <v>2</v>
      </c>
      <c r="C72" t="str">
        <f t="shared" si="2"/>
        <v>'2072'</v>
      </c>
      <c r="D72" t="str">
        <f>$N$1 &amp; "Yes-Text" &amp; $N$1</f>
        <v>'Yes-Text'</v>
      </c>
      <c r="E72" t="str">
        <f>$N$1 &amp; "Sim" &amp; $N$1</f>
        <v>'Sim'</v>
      </c>
      <c r="F72" t="str">
        <f t="shared" si="3"/>
        <v>insert into sysLocalizationText Values(2072,'2072','Yes-Text','Sim',getdate(),getdate(),2)</v>
      </c>
    </row>
    <row r="73" spans="1:6">
      <c r="A73">
        <v>2073</v>
      </c>
      <c r="B73" s="2">
        <v>2</v>
      </c>
      <c r="C73" t="str">
        <f t="shared" si="2"/>
        <v>'2073'</v>
      </c>
      <c r="D73" t="str">
        <f>$N$1 &amp; "No-Text" &amp; $N$1</f>
        <v>'No-Text'</v>
      </c>
      <c r="E73" t="str">
        <f>$N$1 &amp; "Não" &amp; $N$1</f>
        <v>'Não'</v>
      </c>
      <c r="F73" t="str">
        <f t="shared" si="3"/>
        <v>insert into sysLocalizationText Values(2073,'2073','No-Text','Não',getdate(),getdate(),2)</v>
      </c>
    </row>
    <row r="74" spans="1:6">
      <c r="A74">
        <v>2074</v>
      </c>
      <c r="B74" s="2">
        <v>2</v>
      </c>
      <c r="C74" t="str">
        <f t="shared" si="2"/>
        <v>'2074'</v>
      </c>
      <c r="D74" t="str">
        <f>$N$1 &amp; "Saving-Label" &amp; $N$1</f>
        <v>'Saving-Label'</v>
      </c>
      <c r="E74" t="str">
        <f>$N$1 &amp; "Salvando..." &amp; $N$1</f>
        <v>'Salvando...'</v>
      </c>
      <c r="F74" t="str">
        <f t="shared" si="3"/>
        <v>insert into sysLocalizationText Values(2074,'2074','Saving-Label','Salvando...',getdate(),getdate(),2)</v>
      </c>
    </row>
    <row r="75" spans="1:6">
      <c r="A75">
        <v>2075</v>
      </c>
      <c r="B75" s="2">
        <v>2</v>
      </c>
      <c r="C75" t="str">
        <f t="shared" si="2"/>
        <v>'2075'</v>
      </c>
      <c r="D75" t="str">
        <f t="shared" ref="D75" si="4">$N$1 &amp; "Edit-Label" &amp; $N$1</f>
        <v>'Edit-Label'</v>
      </c>
      <c r="E75" t="str">
        <f>$N$1 &amp; "Editar" &amp; $N$1</f>
        <v>'Editar'</v>
      </c>
      <c r="F75" t="str">
        <f t="shared" si="3"/>
        <v>insert into sysLocalizationText Values(2075,'2075','Edit-Label','Editar',getdate(),getdate(),2)</v>
      </c>
    </row>
    <row r="76" spans="1:6">
      <c r="A76">
        <v>2076</v>
      </c>
      <c r="B76" s="2">
        <v>2</v>
      </c>
      <c r="C76" t="str">
        <f t="shared" si="2"/>
        <v>'2076'</v>
      </c>
      <c r="D76" t="str">
        <f>$N$1 &amp; "Date-Label" &amp; $N$1</f>
        <v>'Date-Label'</v>
      </c>
      <c r="E76" t="str">
        <f>$N$1 &amp; "Data" &amp; $N$1</f>
        <v>'Data'</v>
      </c>
      <c r="F76" t="str">
        <f t="shared" si="3"/>
        <v>insert into sysLocalizationText Values(2076,'2076','Date-Label','Data',getdate(),getdate(),2)</v>
      </c>
    </row>
    <row r="77" spans="1:6">
      <c r="A77">
        <v>2077</v>
      </c>
      <c r="B77" s="2">
        <v>2</v>
      </c>
      <c r="C77" t="str">
        <f t="shared" si="2"/>
        <v>'2077'</v>
      </c>
      <c r="D77" t="str">
        <f>$N$1 &amp; "Field-Label" &amp; $N$1</f>
        <v>'Field-Label'</v>
      </c>
      <c r="E77" t="str">
        <f>$N$1 &amp; "Campo" &amp; $N$1</f>
        <v>'Campo'</v>
      </c>
      <c r="F77" t="str">
        <f t="shared" si="3"/>
        <v>insert into sysLocalizationText Values(2077,'2077','Field-Label','Campo',getdate(),getdate(),2)</v>
      </c>
    </row>
    <row r="78" spans="1:6">
      <c r="A78">
        <v>2078</v>
      </c>
      <c r="B78" s="2">
        <v>2</v>
      </c>
      <c r="C78" t="str">
        <f t="shared" si="2"/>
        <v>'2078'</v>
      </c>
      <c r="D78" t="str">
        <f>$N$1 &amp; "Value-Label" &amp; $N$1</f>
        <v>'Value-Label'</v>
      </c>
      <c r="E78" t="str">
        <f>$N$1 &amp; "Valor" &amp; $N$1</f>
        <v>'Valor'</v>
      </c>
      <c r="F78" t="str">
        <f t="shared" si="3"/>
        <v>insert into sysLocalizationText Values(2078,'2078','Value-Label','Valor',getdate(),getdate(),2)</v>
      </c>
    </row>
    <row r="79" spans="1:6">
      <c r="A79">
        <v>2079</v>
      </c>
      <c r="B79" s="2">
        <v>2</v>
      </c>
      <c r="C79" t="str">
        <f t="shared" si="2"/>
        <v>'2079'</v>
      </c>
      <c r="D79" t="str">
        <f>$N$1 &amp; "SelectItem-Description" &amp; $N$1</f>
        <v>'SelectItem-Description'</v>
      </c>
      <c r="E79" t="str">
        <f>$N$1 &amp; "Selecione um Item" &amp; $N$1</f>
        <v>'Selecione um Item'</v>
      </c>
      <c r="F79" t="str">
        <f t="shared" si="3"/>
        <v>insert into sysLocalizationText Values(2079,'2079','SelectItem-Description','Selecione um Item',getdate(),getdate(),2)</v>
      </c>
    </row>
    <row r="80" spans="1:6">
      <c r="A80">
        <v>2080</v>
      </c>
      <c r="B80" s="2">
        <v>2</v>
      </c>
      <c r="C80" t="str">
        <f t="shared" si="2"/>
        <v>'2080'</v>
      </c>
      <c r="D80" t="str">
        <f>$N$1 &amp; "AllItem-Description" &amp; $N$1</f>
        <v>'AllItem-Description'</v>
      </c>
      <c r="E80" t="str">
        <f>$N$1 &amp; "Todos" &amp; $N$1</f>
        <v>'Todos'</v>
      </c>
      <c r="F80" t="str">
        <f t="shared" si="3"/>
        <v>insert into sysLocalizationText Values(2080,'2080','AllItem-Description','Todos',getdate(),getdate(),2)</v>
      </c>
    </row>
    <row r="81" spans="1:6">
      <c r="A81">
        <v>2081</v>
      </c>
      <c r="B81" s="2">
        <v>2</v>
      </c>
      <c r="C81" t="str">
        <f t="shared" ref="C81:C97" si="5">"'" &amp; A81 &amp; "'"</f>
        <v>'2081'</v>
      </c>
      <c r="D81" t="str">
        <f>$N$1 &amp; "Welcome-Label" &amp; $N$1</f>
        <v>'Welcome-Label'</v>
      </c>
      <c r="E81" t="str">
        <f>$N$1 &amp; "Bem-vindo ao GW Template" &amp; $N$1</f>
        <v>'Bem-vindo ao GW Template'</v>
      </c>
      <c r="F81" t="str">
        <f t="shared" si="3"/>
        <v>insert into sysLocalizationText Values(2081,'2081','Welcome-Label','Bem-vindo ao GW Template',getdate(),getdate(),2)</v>
      </c>
    </row>
    <row r="82" spans="1:6">
      <c r="A82">
        <v>2082</v>
      </c>
      <c r="B82" s="2">
        <v>2</v>
      </c>
      <c r="C82" t="str">
        <f t="shared" si="5"/>
        <v>'2082'</v>
      </c>
      <c r="D82" t="str">
        <f>$N$1 &amp; "LoginTitle-Label" &amp; $N$1</f>
        <v>'LoginTitle-Label'</v>
      </c>
      <c r="E82" t="str">
        <f>$N$1 &amp; "Entrar" &amp; $N$1</f>
        <v>'Entrar'</v>
      </c>
      <c r="F82" t="str">
        <f t="shared" si="3"/>
        <v>insert into sysLocalizationText Values(2082,'2082','LoginTitle-Label','Entrar',getdate(),getdate(),2)</v>
      </c>
    </row>
    <row r="83" spans="1:6">
      <c r="A83">
        <v>2083</v>
      </c>
      <c r="B83" s="2">
        <v>2</v>
      </c>
      <c r="C83" t="str">
        <f t="shared" si="5"/>
        <v>'2083'</v>
      </c>
      <c r="D83" t="str">
        <f>$N$1 &amp; "LoginTitle-Description" &amp; $N$1</f>
        <v>'LoginTitle-Description'</v>
      </c>
      <c r="E83" t="str">
        <f>$N$1 &amp; "Insira suas credenciais de acesso" &amp; $N$1</f>
        <v>'Insira suas credenciais de acesso'</v>
      </c>
      <c r="F83" t="str">
        <f t="shared" si="3"/>
        <v>insert into sysLocalizationText Values(2083,'2083','LoginTitle-Description','Insira suas credenciais de acesso',getdate(),getdate(),2)</v>
      </c>
    </row>
    <row r="84" spans="1:6">
      <c r="A84">
        <v>2084</v>
      </c>
      <c r="B84" s="2">
        <v>2</v>
      </c>
      <c r="C84" t="str">
        <f t="shared" si="5"/>
        <v>'2084'</v>
      </c>
      <c r="D84" t="str">
        <f>$N$1 &amp; "InputEmail-Description" &amp; $N$1</f>
        <v>'InputEmail-Description'</v>
      </c>
      <c r="E84" t="str">
        <f>$N$1 &amp; "Digite seu e-mail de cadastro" &amp; $N$1</f>
        <v>'Digite seu e-mail de cadastro'</v>
      </c>
      <c r="F84" t="str">
        <f t="shared" si="3"/>
        <v>insert into sysLocalizationText Values(2084,'2084','InputEmail-Description','Digite seu e-mail de cadastro',getdate(),getdate(),2)</v>
      </c>
    </row>
    <row r="85" spans="1:6">
      <c r="A85">
        <v>2085</v>
      </c>
      <c r="B85" s="2">
        <v>2</v>
      </c>
      <c r="C85" t="str">
        <f t="shared" si="5"/>
        <v>'2085'</v>
      </c>
      <c r="D85" t="str">
        <f>$N$1 &amp; "InputPassword-Description" &amp; $N$1</f>
        <v>'InputPassword-Description'</v>
      </c>
      <c r="E85" t="str">
        <f>$N$1 &amp; "Digite sua senha" &amp; $N$1</f>
        <v>'Digite sua senha'</v>
      </c>
      <c r="F85" t="str">
        <f t="shared" si="3"/>
        <v>insert into sysLocalizationText Values(2085,'2085','InputPassword-Description','Digite sua senha',getdate(),getdate(),2)</v>
      </c>
    </row>
    <row r="86" spans="1:6">
      <c r="A86">
        <v>2086</v>
      </c>
      <c r="B86" s="2">
        <v>2</v>
      </c>
      <c r="C86" t="str">
        <f t="shared" si="5"/>
        <v>'2086'</v>
      </c>
      <c r="D86" t="str">
        <f>$N$1 &amp; "ForgetPassword-Description" &amp; $N$1</f>
        <v>'ForgetPassword-Description'</v>
      </c>
      <c r="E86" t="str">
        <f>$N$1 &amp; "Esqueceu a senha ?" &amp; $N$1</f>
        <v>'Esqueceu a senha ?'</v>
      </c>
      <c r="F86" t="str">
        <f t="shared" si="3"/>
        <v>insert into sysLocalizationText Values(2086,'2086','ForgetPassword-Description','Esqueceu a senha ?',getdate(),getdate(),2)</v>
      </c>
    </row>
    <row r="87" spans="1:6">
      <c r="A87">
        <v>2087</v>
      </c>
      <c r="B87" s="2">
        <v>2</v>
      </c>
      <c r="C87" t="str">
        <f t="shared" si="5"/>
        <v>'2087'</v>
      </c>
      <c r="D87" t="str">
        <f>$N$1 &amp; "LoginButton-Label" &amp; $N$1</f>
        <v>'LoginButton-Label'</v>
      </c>
      <c r="E87" t="str">
        <f>$N$1 &amp; "Confirmar" &amp; $N$1</f>
        <v>'Confirmar'</v>
      </c>
      <c r="F87" t="str">
        <f t="shared" si="3"/>
        <v>insert into sysLocalizationText Values(2087,'2087','LoginButton-Label','Confirmar',getdate(),getdate(),2)</v>
      </c>
    </row>
    <row r="88" spans="1:6">
      <c r="A88">
        <v>2088</v>
      </c>
      <c r="B88" s="2">
        <v>2</v>
      </c>
      <c r="C88" t="str">
        <f t="shared" si="5"/>
        <v>'2088'</v>
      </c>
      <c r="D88" t="str">
        <f>$N$1 &amp; "LoginLoading-Label" &amp; $N$1</f>
        <v>'LoginLoading-Label'</v>
      </c>
      <c r="E88" t="str">
        <f>$N$1 &amp; "Entrando..." &amp; $N$1</f>
        <v>'Entrando...'</v>
      </c>
      <c r="F88" t="str">
        <f t="shared" si="3"/>
        <v>insert into sysLocalizationText Values(2088,'2088','LoginLoading-Label','Entrando...',getdate(),getdate(),2)</v>
      </c>
    </row>
    <row r="89" spans="1:6">
      <c r="A89">
        <v>2089</v>
      </c>
      <c r="B89" s="2">
        <v>2</v>
      </c>
      <c r="C89" t="str">
        <f t="shared" si="5"/>
        <v>'2089'</v>
      </c>
      <c r="D89" t="str">
        <f>$N$1 &amp; "SendText-Description" &amp; $N$1</f>
        <v>'SendText-Description'</v>
      </c>
      <c r="E89" t="str">
        <f>$N$1 &amp; "Enviando..." &amp; $N$1</f>
        <v>'Enviando...'</v>
      </c>
      <c r="F89" t="str">
        <f t="shared" si="3"/>
        <v>insert into sysLocalizationText Values(2089,'2089','SendText-Description','Enviando...',getdate(),getdate(),2)</v>
      </c>
    </row>
    <row r="90" spans="1:6">
      <c r="A90">
        <v>2090</v>
      </c>
      <c r="B90" s="2">
        <v>2</v>
      </c>
      <c r="C90" t="str">
        <f t="shared" si="5"/>
        <v>'2090'</v>
      </c>
      <c r="D90" t="str">
        <f>$N$1 &amp; "ActiveAccountButton-Label" &amp; $N$1</f>
        <v>'ActiveAccountButton-Label'</v>
      </c>
      <c r="E90" t="str">
        <f>$N$1 &amp; "Ativar Conta" &amp; $N$1</f>
        <v>'Ativar Conta'</v>
      </c>
      <c r="F90" t="str">
        <f t="shared" si="3"/>
        <v>insert into sysLocalizationText Values(2090,'2090','ActiveAccountButton-Label','Ativar Conta',getdate(),getdate(),2)</v>
      </c>
    </row>
    <row r="91" spans="1:6">
      <c r="A91">
        <v>2091</v>
      </c>
      <c r="B91" s="2">
        <v>2</v>
      </c>
      <c r="C91" t="str">
        <f t="shared" si="5"/>
        <v>'2091'</v>
      </c>
      <c r="D91" t="str">
        <f>$N$1 &amp; "ActiveAccount-Label" &amp; $N$1</f>
        <v>'ActiveAccount-Label'</v>
      </c>
      <c r="E91" t="str">
        <f>$N$1 &amp; "Ativação de Conta" &amp; $N$1</f>
        <v>'Ativação de Conta'</v>
      </c>
      <c r="F91" t="str">
        <f t="shared" si="3"/>
        <v>insert into sysLocalizationText Values(2091,'2091','ActiveAccount-Label','Ativação de Conta',getdate(),getdate(),2)</v>
      </c>
    </row>
    <row r="92" spans="1:6">
      <c r="A92">
        <v>2092</v>
      </c>
      <c r="B92" s="2">
        <v>2</v>
      </c>
      <c r="C92" t="str">
        <f t="shared" si="5"/>
        <v>'2092'</v>
      </c>
      <c r="D92" t="str">
        <f>$N$1 &amp; "ActiveAccount-Description" &amp; $N$1</f>
        <v>'ActiveAccount-Description'</v>
      </c>
      <c r="E92" t="str">
        <f>$N$1 &amp; "Não consegue acessar ?" &amp; $N$1</f>
        <v>'Não consegue acessar ?'</v>
      </c>
      <c r="F92" t="str">
        <f t="shared" si="3"/>
        <v>insert into sysLocalizationText Values(2092,'2092','ActiveAccount-Description','Não consegue acessar ?',getdate(),getdate(),2)</v>
      </c>
    </row>
    <row r="93" spans="1:6">
      <c r="A93">
        <v>2093</v>
      </c>
      <c r="B93" s="2">
        <v>2</v>
      </c>
      <c r="C93" t="str">
        <f t="shared" si="5"/>
        <v>'2093'</v>
      </c>
      <c r="D93" t="str">
        <f>$N$1 &amp; "ActiveAccount-Step1" &amp; $N$1</f>
        <v>'ActiveAccount-Step1'</v>
      </c>
      <c r="E93" t="str">
        <f>$N$1 &amp; "Envie o código de ativação para o seu e-mail de cadastro" &amp; $N$1</f>
        <v>'Envie o código de ativação para o seu e-mail de cadastro'</v>
      </c>
      <c r="F93" t="str">
        <f t="shared" si="3"/>
        <v>insert into sysLocalizationText Values(2093,'2093','ActiveAccount-Step1','Envie o código de ativação para o seu e-mail de cadastro',getdate(),getdate(),2)</v>
      </c>
    </row>
    <row r="94" spans="1:6">
      <c r="A94">
        <v>2094</v>
      </c>
      <c r="B94" s="2">
        <v>2</v>
      </c>
      <c r="C94" t="str">
        <f t="shared" si="5"/>
        <v>'2094'</v>
      </c>
      <c r="D94" t="str">
        <f>$N$1 &amp; "ActiveAccount-Step2" &amp; $N$1</f>
        <v>'ActiveAccount-Step2'</v>
      </c>
      <c r="E94" t="str">
        <f>$N$1 &amp; "Informe o código de ativação recebido" &amp; $N$1</f>
        <v>'Informe o código de ativação recebido'</v>
      </c>
      <c r="F94" t="str">
        <f t="shared" si="3"/>
        <v>insert into sysLocalizationText Values(2094,'2094','ActiveAccount-Step2','Informe o código de ativação recebido',getdate(),getdate(),2)</v>
      </c>
    </row>
    <row r="95" spans="1:6">
      <c r="A95">
        <v>2095</v>
      </c>
      <c r="B95" s="2">
        <v>2</v>
      </c>
      <c r="C95" t="str">
        <f t="shared" si="5"/>
        <v>'2095'</v>
      </c>
      <c r="D95" t="str">
        <f>$N$1 &amp; "SendCodeButton-Label" &amp; $N$1</f>
        <v>'SendCodeButton-Label'</v>
      </c>
      <c r="E95" t="str">
        <f>$N$1 &amp; "Enviar Código" &amp; $N$1</f>
        <v>'Enviar Código'</v>
      </c>
      <c r="F95" t="str">
        <f t="shared" si="3"/>
        <v>insert into sysLocalizationText Values(2095,'2095','SendCodeButton-Label','Enviar Código',getdate(),getdate(),2)</v>
      </c>
    </row>
    <row r="96" spans="1:6">
      <c r="A96">
        <v>2096</v>
      </c>
      <c r="B96" s="2">
        <v>2</v>
      </c>
      <c r="C96" t="str">
        <f t="shared" si="5"/>
        <v>'2096'</v>
      </c>
      <c r="D96" t="str">
        <f>$N$1 &amp; "ActiveLoading-Label" &amp; $N$1</f>
        <v>'ActiveLoading-Label'</v>
      </c>
      <c r="E96" t="str">
        <f>$N$1 &amp; "Solicitar Ativação" &amp; $N$1</f>
        <v>'Solicitar Ativação'</v>
      </c>
      <c r="F96" t="str">
        <f t="shared" si="3"/>
        <v>insert into sysLocalizationText Values(2096,'2096','ActiveLoading-Label','Solicitar Ativação',getdate(),getdate(),2)</v>
      </c>
    </row>
    <row r="97" spans="1:6">
      <c r="A97">
        <v>2097</v>
      </c>
      <c r="B97" s="2">
        <v>2</v>
      </c>
      <c r="C97" t="str">
        <f t="shared" si="5"/>
        <v>'2097'</v>
      </c>
      <c r="D97" t="str">
        <f>$N$1 &amp; "InputCode-Description" &amp; $N$1</f>
        <v>'InputCode-Description'</v>
      </c>
      <c r="E97" t="str">
        <f>$N$1 &amp; "Digite o código recebido por e-mail" &amp; $N$1</f>
        <v>'Digite o código recebido por e-mail'</v>
      </c>
      <c r="F97" t="str">
        <f t="shared" si="3"/>
        <v>insert into sysLocalizationText Values(2097,'2097','InputCode-Description','Digite o código recebido por e-mail',getdate(),getdate(),2)</v>
      </c>
    </row>
    <row r="98" spans="1:6">
      <c r="A98">
        <v>2098</v>
      </c>
      <c r="B98" s="2">
        <v>2</v>
      </c>
      <c r="C98" t="str">
        <f t="shared" ref="C98:C108" si="6">"'" &amp; A98 &amp; "'"</f>
        <v>'2098'</v>
      </c>
      <c r="D98" t="str">
        <f>$N$1 &amp; "Unlogged-Label" &amp; $N$1</f>
        <v>'Unlogged-Label'</v>
      </c>
      <c r="E98" t="str">
        <f>$N$1 &amp; "Você não está logado" &amp; $N$1</f>
        <v>'Você não está logado'</v>
      </c>
      <c r="F98" t="str">
        <f t="shared" si="3"/>
        <v>insert into sysLocalizationText Values(2098,'2098','Unlogged-Label','Você não está logado',getdate(),getdate(),2)</v>
      </c>
    </row>
    <row r="99" spans="1:6">
      <c r="A99">
        <v>2099</v>
      </c>
      <c r="B99" s="2">
        <v>2</v>
      </c>
      <c r="C99" t="str">
        <f t="shared" si="6"/>
        <v>'2099'</v>
      </c>
      <c r="D99" t="str">
        <f>$N$1 &amp; "MyProfile-Label" &amp; $N$1</f>
        <v>'MyProfile-Label'</v>
      </c>
      <c r="E99" t="str">
        <f>$N$1 &amp; "Meu Perfil" &amp; $N$1</f>
        <v>'Meu Perfil'</v>
      </c>
      <c r="F99" t="str">
        <f t="shared" si="3"/>
        <v>insert into sysLocalizationText Values(2099,'2099','MyProfile-Label','Meu Perfil',getdate(),getdate(),2)</v>
      </c>
    </row>
    <row r="100" spans="1:6">
      <c r="A100">
        <v>2100</v>
      </c>
      <c r="B100" s="2">
        <v>2</v>
      </c>
      <c r="C100" t="str">
        <f t="shared" si="6"/>
        <v>'2100'</v>
      </c>
      <c r="D100" t="str">
        <f>$N$1 &amp; "MainProfileData-Label" &amp; $N$1</f>
        <v>'MainProfileData-Label'</v>
      </c>
      <c r="E100" t="str">
        <f>$N$1 &amp; "Dados do Perfil" &amp; $N$1</f>
        <v>'Dados do Perfil'</v>
      </c>
      <c r="F100" t="str">
        <f t="shared" si="3"/>
        <v>insert into sysLocalizationText Values(2100,'2100','MainProfileData-Label','Dados do Perfil',getdate(),getdate(),2)</v>
      </c>
    </row>
    <row r="101" spans="1:6">
      <c r="A101">
        <v>2101</v>
      </c>
      <c r="B101" s="2">
        <v>2</v>
      </c>
      <c r="C101" t="str">
        <f t="shared" si="6"/>
        <v>'2101'</v>
      </c>
      <c r="D101" t="str">
        <f>$N$1 &amp; "AlterPassword-Label" &amp; $N$1</f>
        <v>'AlterPassword-Label'</v>
      </c>
      <c r="E101" t="str">
        <f>$N$1 &amp; "Trocar Senha" &amp; $N$1</f>
        <v>'Trocar Senha'</v>
      </c>
      <c r="F101" t="str">
        <f t="shared" si="3"/>
        <v>insert into sysLocalizationText Values(2101,'2101','AlterPassword-Label','Trocar Senha',getdate(),getdate(),2)</v>
      </c>
    </row>
    <row r="102" spans="1:6">
      <c r="A102">
        <v>2102</v>
      </c>
      <c r="B102" s="2">
        <v>2</v>
      </c>
      <c r="C102" t="str">
        <f t="shared" si="6"/>
        <v>'2102'</v>
      </c>
      <c r="D102" t="str">
        <f>$N$1 &amp; "LanguageRole-Label" &amp; $N$1</f>
        <v>'LanguageRole-Label'</v>
      </c>
      <c r="E102" t="str">
        <f>$N$1 &amp; "Linguagem" &amp; $N$1</f>
        <v>'Linguagem'</v>
      </c>
      <c r="F102" t="str">
        <f t="shared" si="3"/>
        <v>insert into sysLocalizationText Values(2102,'2102','LanguageRole-Label','Linguagem',getdate(),getdate(),2)</v>
      </c>
    </row>
    <row r="103" spans="1:6">
      <c r="A103">
        <v>2103</v>
      </c>
      <c r="B103" s="2">
        <v>2</v>
      </c>
      <c r="C103" t="str">
        <f t="shared" si="6"/>
        <v>'2103'</v>
      </c>
      <c r="D103" t="str">
        <f>$N$1 &amp; "AlterProfileImage-Label" &amp; $N$1</f>
        <v>'AlterProfileImage-Label'</v>
      </c>
      <c r="E103" t="str">
        <f>$N$1 &amp; "Alterar a imagem de perfil" &amp; $N$1</f>
        <v>'Alterar a imagem de perfil'</v>
      </c>
      <c r="F103" t="str">
        <f t="shared" si="3"/>
        <v>insert into sysLocalizationText Values(2103,'2103','AlterProfileImage-Label','Alterar a imagem de perfil',getdate(),getdate(),2)</v>
      </c>
    </row>
    <row r="104" spans="1:6">
      <c r="A104">
        <v>2104</v>
      </c>
      <c r="B104" s="2">
        <v>2</v>
      </c>
      <c r="C104" t="str">
        <f t="shared" si="6"/>
        <v>'2104'</v>
      </c>
      <c r="D104" t="str">
        <f>$N$1 &amp; "AlterPasswordStep1-Label" &amp; $N$1</f>
        <v>'AlterPasswordStep1-Label'</v>
      </c>
      <c r="E104" t="str">
        <f>$N$1 &amp; "Clique no link abaixo para receber um email com o código de segurança para troca de senha" &amp; $N$1</f>
        <v>'Clique no link abaixo para receber um email com o código de segurança para troca de senha'</v>
      </c>
      <c r="F104" t="str">
        <f t="shared" si="3"/>
        <v>insert into sysLocalizationText Values(2104,'2104','AlterPasswordStep1-Label','Clique no link abaixo para receber um email com o código de segurança para troca de senha',getdate(),getdate(),2)</v>
      </c>
    </row>
    <row r="105" spans="1:6">
      <c r="A105">
        <v>2105</v>
      </c>
      <c r="B105" s="2">
        <v>2</v>
      </c>
      <c r="C105" t="str">
        <f t="shared" si="6"/>
        <v>'2105'</v>
      </c>
      <c r="D105" t="str">
        <f>$N$1 &amp; "AlterPasswordStep2-Label" &amp; $N$1</f>
        <v>'AlterPasswordStep2-Label'</v>
      </c>
      <c r="E105" t="str">
        <f>$N$1 &amp; "Após receber código, preencha as informações abaixo e clique em Altera Senha" &amp; $N$1</f>
        <v>'Após receber código, preencha as informações abaixo e clique em Altera Senha'</v>
      </c>
      <c r="F105" t="str">
        <f t="shared" si="3"/>
        <v>insert into sysLocalizationText Values(2105,'2105','AlterPasswordStep2-Label','Após receber código, preencha as informações abaixo e clique em Altera Senha',getdate(),getdate(),2)</v>
      </c>
    </row>
    <row r="106" spans="1:6">
      <c r="A106">
        <v>2106</v>
      </c>
      <c r="B106" s="2">
        <v>2</v>
      </c>
      <c r="C106" t="str">
        <f t="shared" si="6"/>
        <v>'2106'</v>
      </c>
      <c r="D106" t="str">
        <f>$N$1 &amp; "InputNewPassword-Label" &amp; $N$1</f>
        <v>'InputNewPassword-Label'</v>
      </c>
      <c r="E106" t="str">
        <f>$N$1 &amp; "Digite a nova senha" &amp; $N$1</f>
        <v>'Digite a nova senha'</v>
      </c>
      <c r="F106" t="str">
        <f t="shared" si="3"/>
        <v>insert into sysLocalizationText Values(2106,'2106','InputNewPassword-Label','Digite a nova senha',getdate(),getdate(),2)</v>
      </c>
    </row>
    <row r="107" spans="1:6">
      <c r="A107">
        <v>2107</v>
      </c>
      <c r="B107" s="2">
        <v>2</v>
      </c>
      <c r="C107" t="str">
        <f t="shared" si="6"/>
        <v>'2107'</v>
      </c>
      <c r="D107" t="str">
        <f>$N$1 &amp; "AlterPasswordButton-Label" &amp; $N$1</f>
        <v>'AlterPasswordButton-Label'</v>
      </c>
      <c r="E107" t="str">
        <f>$N$1 &amp; "Alterar a Senha" &amp; $N$1</f>
        <v>'Alterar a Senha'</v>
      </c>
      <c r="F107" t="str">
        <f t="shared" si="3"/>
        <v>insert into sysLocalizationText Values(2107,'2107','AlterPasswordButton-Label','Alterar a Senha',getdate(),getdate(),2)</v>
      </c>
    </row>
    <row r="108" spans="1:6">
      <c r="A108">
        <v>2108</v>
      </c>
      <c r="B108" s="2">
        <v>2</v>
      </c>
      <c r="C108" t="str">
        <f t="shared" si="6"/>
        <v>'2108'</v>
      </c>
      <c r="D108" t="str">
        <f>$N$1 &amp; "AlterPasswordButton-Loading" &amp; $N$1</f>
        <v>'AlterPasswordButton-Loading'</v>
      </c>
      <c r="E108" t="str">
        <f>$N$1 &amp; "Alterando a senha...." &amp; $N$1</f>
        <v>'Alterando a senha....'</v>
      </c>
      <c r="F108" t="str">
        <f t="shared" si="3"/>
        <v>insert into sysLocalizationText Values(2108,'2108','AlterPasswordButton-Loading','Alterando a senha....',getdate(),getdate(),2)</v>
      </c>
    </row>
    <row r="109" spans="1:6">
      <c r="A109">
        <v>2109</v>
      </c>
      <c r="B109" s="2">
        <v>2</v>
      </c>
      <c r="C109" t="str">
        <f t="shared" ref="C109:C120" si="7">"'" &amp; A109 &amp; "'"</f>
        <v>'2109'</v>
      </c>
      <c r="D109" t="str">
        <f>$N$1 &amp; "InvalidCredentials-Title" &amp; $N$1</f>
        <v>'InvalidCredentials-Title'</v>
      </c>
      <c r="E109" t="str">
        <f>$N$1 &amp; "Credenciais Inválidas" &amp; $N$1</f>
        <v>'Credenciais Inválidas'</v>
      </c>
      <c r="F109" t="str">
        <f t="shared" si="3"/>
        <v>insert into sysLocalizationText Values(2109,'2109','InvalidCredentials-Title','Credenciais Inválidas',getdate(),getdate(),2)</v>
      </c>
    </row>
    <row r="110" spans="1:6">
      <c r="A110">
        <v>2110</v>
      </c>
      <c r="B110" s="2">
        <v>2</v>
      </c>
      <c r="C110" t="str">
        <f t="shared" si="7"/>
        <v>'2110'</v>
      </c>
      <c r="D110" t="str">
        <f>$N$1 &amp; "InvalidCredentials-Message" &amp; $N$1</f>
        <v>'InvalidCredentials-Message'</v>
      </c>
      <c r="E110" t="str">
        <f>$N$1 &amp; "E-mail ou senha inválidos!" &amp; $N$1</f>
        <v>'E-mail ou senha inválidos!'</v>
      </c>
      <c r="F110" t="str">
        <f t="shared" si="3"/>
        <v>insert into sysLocalizationText Values(2110,'2110','InvalidCredentials-Message','E-mail ou senha inválidos!',getdate(),getdate(),2)</v>
      </c>
    </row>
    <row r="111" spans="1:6">
      <c r="A111">
        <v>2111</v>
      </c>
      <c r="B111" s="2">
        <v>2</v>
      </c>
      <c r="C111" t="str">
        <f t="shared" si="7"/>
        <v>'2111'</v>
      </c>
      <c r="D111" t="str">
        <f>$N$1 &amp; "TemporaryPassword-Title" &amp; $N$1</f>
        <v>'TemporaryPassword-Title'</v>
      </c>
      <c r="E111" t="str">
        <f>$N$1 &amp; "Senha Enviada" &amp; $N$1</f>
        <v>'Senha Enviada'</v>
      </c>
      <c r="F111" t="str">
        <f t="shared" si="3"/>
        <v>insert into sysLocalizationText Values(2111,'2111','TemporaryPassword-Title','Senha Enviada',getdate(),getdate(),2)</v>
      </c>
    </row>
    <row r="112" spans="1:6">
      <c r="A112">
        <v>2112</v>
      </c>
      <c r="B112" s="2">
        <v>2</v>
      </c>
      <c r="C112" t="str">
        <f t="shared" si="7"/>
        <v>'2112'</v>
      </c>
      <c r="D112" t="str">
        <f>$N$1 &amp; "TemporaryPassword-Message" &amp; $N$1</f>
        <v>'TemporaryPassword-Message'</v>
      </c>
      <c r="E112" t="str">
        <f>$N$1 &amp; "Uma senha temporária foi enviada para o seu e-mail de cadastro. Ao logar, solicite a troca de senha." &amp; $N$1</f>
        <v>'Uma senha temporária foi enviada para o seu e-mail de cadastro. Ao logar, solicite a troca de senha.'</v>
      </c>
      <c r="F112" t="str">
        <f t="shared" si="3"/>
        <v>insert into sysLocalizationText Values(2112,'2112','TemporaryPassword-Message','Uma senha temporária foi enviada para o seu e-mail de cadastro. Ao logar, solicite a troca de senha.',getdate(),getdate(),2)</v>
      </c>
    </row>
    <row r="113" spans="1:6">
      <c r="A113">
        <v>2113</v>
      </c>
      <c r="B113" s="2">
        <v>2</v>
      </c>
      <c r="C113" t="str">
        <f t="shared" si="7"/>
        <v>'2113'</v>
      </c>
      <c r="D113" t="str">
        <f>$N$1 &amp; "SuccessActivated-Title" &amp; $N$1</f>
        <v>'SuccessActivated-Title'</v>
      </c>
      <c r="E113" t="str">
        <f>$N$1 &amp; "Conta Ativada com Sucesso" &amp; $N$1</f>
        <v>'Conta Ativada com Sucesso'</v>
      </c>
      <c r="F113" t="str">
        <f t="shared" si="3"/>
        <v>insert into sysLocalizationText Values(2113,'2113','SuccessActivated-Title','Conta Ativada com Sucesso',getdate(),getdate(),2)</v>
      </c>
    </row>
    <row r="114" spans="1:6">
      <c r="A114">
        <v>2114</v>
      </c>
      <c r="B114" s="2">
        <v>2</v>
      </c>
      <c r="C114" t="str">
        <f t="shared" si="7"/>
        <v>'2114'</v>
      </c>
      <c r="D114" t="str">
        <f>$N$1 &amp; "SuccessActivated-Message" &amp; $N$1</f>
        <v>'SuccessActivated-Message'</v>
      </c>
      <c r="E114" t="str">
        <f>$N$1 &amp; "A conta foi ativada com sucesso. Você já pode efetuar login." &amp; $N$1</f>
        <v>'A conta foi ativada com sucesso. Você já pode efetuar login.'</v>
      </c>
      <c r="F114" t="str">
        <f t="shared" si="3"/>
        <v>insert into sysLocalizationText Values(2114,'2114','SuccessActivated-Message','A conta foi ativada com sucesso. Você já pode efetuar login.',getdate(),getdate(),2)</v>
      </c>
    </row>
    <row r="115" spans="1:6">
      <c r="A115">
        <v>2115</v>
      </c>
      <c r="B115" s="2">
        <v>2</v>
      </c>
      <c r="C115" t="str">
        <f t="shared" si="7"/>
        <v>'2115'</v>
      </c>
      <c r="D115" t="str">
        <f>$N$1 &amp; "ActivateCode-Title" &amp; $N$1</f>
        <v>'ActivateCode-Title'</v>
      </c>
      <c r="E115" t="str">
        <f>$N$1 &amp; "Código Enviado" &amp; $N$1</f>
        <v>'Código Enviado'</v>
      </c>
      <c r="F115" t="str">
        <f t="shared" si="3"/>
        <v>insert into sysLocalizationText Values(2115,'2115','ActivateCode-Title','Código Enviado',getdate(),getdate(),2)</v>
      </c>
    </row>
    <row r="116" spans="1:6">
      <c r="A116">
        <v>2116</v>
      </c>
      <c r="B116" s="2">
        <v>2</v>
      </c>
      <c r="C116" t="str">
        <f t="shared" si="7"/>
        <v>'2116'</v>
      </c>
      <c r="D116" t="str">
        <f>$N$1 &amp; "ActivateCode-Message" &amp; $N$1</f>
        <v>'ActivateCode-Message'</v>
      </c>
      <c r="E116" t="str">
        <f>$N$1 &amp; "O código de segurança foi enviado por e-mail." &amp; $N$1</f>
        <v>'O código de segurança foi enviado por e-mail.'</v>
      </c>
      <c r="F116" t="str">
        <f t="shared" si="3"/>
        <v>insert into sysLocalizationText Values(2116,'2116','ActivateCode-Message','O código de segurança foi enviado por e-mail.',getdate(),getdate(),2)</v>
      </c>
    </row>
    <row r="117" spans="1:6">
      <c r="A117">
        <v>2117</v>
      </c>
      <c r="B117" s="2">
        <v>2</v>
      </c>
      <c r="C117" t="str">
        <f t="shared" si="7"/>
        <v>'2117'</v>
      </c>
      <c r="D117" t="str">
        <f>$N$1 &amp; "PasswordChanged-Title" &amp; $N$1</f>
        <v>'PasswordChanged-Title'</v>
      </c>
      <c r="E117" t="str">
        <f>$N$1 &amp; "Senha Alterada" &amp; $N$1</f>
        <v>'Senha Alterada'</v>
      </c>
      <c r="F117" t="str">
        <f t="shared" si="3"/>
        <v>insert into sysLocalizationText Values(2117,'2117','PasswordChanged-Title','Senha Alterada',getdate(),getdate(),2)</v>
      </c>
    </row>
    <row r="118" spans="1:6">
      <c r="A118">
        <v>2118</v>
      </c>
      <c r="B118" s="2">
        <v>2</v>
      </c>
      <c r="C118" t="str">
        <f t="shared" si="7"/>
        <v>'2118'</v>
      </c>
      <c r="D118" t="str">
        <f>$N$1 &amp; "PasswordChanged-Message" &amp; $N$1</f>
        <v>'PasswordChanged-Message'</v>
      </c>
      <c r="E118" t="str">
        <f>$N$1 &amp; "A senha foi alterada com sucesso. Efetue login novamente." &amp; $N$1</f>
        <v>'A senha foi alterada com sucesso. Efetue login novamente.'</v>
      </c>
      <c r="F118" t="str">
        <f t="shared" si="3"/>
        <v>insert into sysLocalizationText Values(2118,'2118','PasswordChanged-Message','A senha foi alterada com sucesso. Efetue login novamente.',getdate(),getdate(),2)</v>
      </c>
    </row>
    <row r="119" spans="1:6">
      <c r="A119">
        <v>2119</v>
      </c>
      <c r="B119" s="2">
        <v>2</v>
      </c>
      <c r="C119" t="str">
        <f t="shared" si="7"/>
        <v>'2119'</v>
      </c>
      <c r="D119" t="str">
        <f>$N$1 &amp; "ImageChanged-Title" &amp; $N$1</f>
        <v>'ImageChanged-Title'</v>
      </c>
      <c r="E119" t="str">
        <f>$N$1 &amp; "Imagem Alterada" &amp; $N$1</f>
        <v>'Imagem Alterada'</v>
      </c>
      <c r="F119" t="str">
        <f t="shared" si="3"/>
        <v>insert into sysLocalizationText Values(2119,'2119','ImageChanged-Title','Imagem Alterada',getdate(),getdate(),2)</v>
      </c>
    </row>
    <row r="120" spans="1:6">
      <c r="A120">
        <v>2120</v>
      </c>
      <c r="B120" s="2">
        <v>2</v>
      </c>
      <c r="C120" t="str">
        <f t="shared" si="7"/>
        <v>'2120'</v>
      </c>
      <c r="D120" t="str">
        <f>$N$1 &amp; "ImageChanged-Message" &amp; $N$1</f>
        <v>'ImageChanged-Message'</v>
      </c>
      <c r="E120" t="str">
        <f>$N$1 &amp; "A imagem de perfil foi alterada. No próximo login a nova imagem será exibida." &amp; $N$1</f>
        <v>'A imagem de perfil foi alterada. No próximo login a nova imagem será exibida.'</v>
      </c>
      <c r="F120" t="str">
        <f t="shared" si="3"/>
        <v>insert into sysLocalizationText Values(2120,'2120','ImageChanged-Message','A imagem de perfil foi alterada. No próximo login a nova imagem será exibida.',getdate(),getdate(),2)</v>
      </c>
    </row>
    <row r="121" spans="1:6">
      <c r="A121">
        <v>2121</v>
      </c>
      <c r="B121" s="2">
        <v>2</v>
      </c>
      <c r="C121" t="str">
        <f t="shared" si="2"/>
        <v>'2121'</v>
      </c>
      <c r="D121" t="str">
        <f>$N$1 &amp; "SearchByEmail-Label" &amp; $N$1</f>
        <v>'SearchByEmail-Label'</v>
      </c>
      <c r="E121" t="str">
        <f>$N$1 &amp; "Por E-mail" &amp; $N$1</f>
        <v>'Por E-mail'</v>
      </c>
      <c r="F121" t="str">
        <f t="shared" si="3"/>
        <v>insert into sysLocalizationText Values(2121,'2121','SearchByEmail-Label','Por E-mail',getdate(),getdate(),2)</v>
      </c>
    </row>
    <row r="122" spans="1:6">
      <c r="A122">
        <v>2122</v>
      </c>
      <c r="B122" s="2">
        <v>2</v>
      </c>
      <c r="C122" t="str">
        <f t="shared" si="2"/>
        <v>'2122'</v>
      </c>
      <c r="D122" t="str">
        <f>$N$1 &amp; "SearchByUserName-Label" &amp; $N$1</f>
        <v>'SearchByUserName-Label'</v>
      </c>
      <c r="E122" t="str">
        <f>$N$1 &amp; "Por Nome de Usuário" &amp; $N$1</f>
        <v>'Por Nome de Usuário'</v>
      </c>
      <c r="F122" t="str">
        <f t="shared" si="3"/>
        <v>insert into sysLocalizationText Values(2122,'2122','SearchByUserName-Label','Por Nome de Usuário',getdate(),getdate(),2)</v>
      </c>
    </row>
    <row r="123" spans="1:6">
      <c r="A123">
        <v>2123</v>
      </c>
      <c r="B123" s="2">
        <v>2</v>
      </c>
      <c r="C123" t="str">
        <f t="shared" si="2"/>
        <v>'2123'</v>
      </c>
      <c r="D123" t="str">
        <f>$N$1 &amp; "SearchByEmail-Description" &amp; $N$1</f>
        <v>'SearchByEmail-Description'</v>
      </c>
      <c r="E123" t="str">
        <f>$N$1 &amp; "Pesquisar por E-mail" &amp; $N$1</f>
        <v>'Pesquisar por E-mail'</v>
      </c>
      <c r="F123" t="str">
        <f t="shared" si="3"/>
        <v>insert into sysLocalizationText Values(2123,'2123','SearchByEmail-Description','Pesquisar por E-mail',getdate(),getdate(),2)</v>
      </c>
    </row>
    <row r="124" spans="1:6">
      <c r="A124">
        <v>2124</v>
      </c>
      <c r="B124" s="2">
        <v>2</v>
      </c>
      <c r="C124" t="str">
        <f t="shared" si="2"/>
        <v>'2124'</v>
      </c>
      <c r="D124" t="str">
        <f>$N$1 &amp; "SearchByUserName-Description" &amp; $N$1</f>
        <v>'SearchByUserName-Description'</v>
      </c>
      <c r="E124" t="str">
        <f>$N$1 &amp; "Pesquisar por Nome de Usuário" &amp; $N$1</f>
        <v>'Pesquisar por Nome de Usuário'</v>
      </c>
      <c r="F124" t="str">
        <f t="shared" si="3"/>
        <v>insert into sysLocalizationText Values(2124,'2124','SearchByUserName-Description','Pesquisar por Nome de Usuário',getdate(),getdate(),2)</v>
      </c>
    </row>
    <row r="125" spans="1:6">
      <c r="A125">
        <v>2125</v>
      </c>
      <c r="B125" s="2">
        <v>2</v>
      </c>
      <c r="C125" t="str">
        <f t="shared" si="2"/>
        <v>'2125'</v>
      </c>
      <c r="D125" t="str">
        <f>$N$1 &amp; "SearchByInstance-Label" &amp; $N$1</f>
        <v>'SearchByInstance-Label'</v>
      </c>
      <c r="E125" t="str">
        <f>$N$1 &amp; "Por Instância" &amp; $N$1</f>
        <v>'Por Instância'</v>
      </c>
      <c r="F125" t="str">
        <f t="shared" si="3"/>
        <v>insert into sysLocalizationText Values(2125,'2125','SearchByInstance-Label','Por Instância',getdate(),getdate(),2)</v>
      </c>
    </row>
    <row r="126" spans="1:6">
      <c r="A126">
        <v>2126</v>
      </c>
      <c r="B126" s="2">
        <v>2</v>
      </c>
      <c r="C126" t="str">
        <f t="shared" si="2"/>
        <v>'2126'</v>
      </c>
      <c r="D126" t="str">
        <f>$N$1 &amp; "SearchByRole-Label" &amp; $N$1</f>
        <v>'SearchByRole-Label'</v>
      </c>
      <c r="E126" t="str">
        <f>$N$1 &amp; "Por Perfil" &amp; $N$1</f>
        <v>'Por Perfil'</v>
      </c>
      <c r="F126" t="str">
        <f t="shared" si="3"/>
        <v>insert into sysLocalizationText Values(2126,'2126','SearchByRole-Label','Por Perfil',getdate(),getdate(),2)</v>
      </c>
    </row>
    <row r="127" spans="1:6">
      <c r="A127">
        <v>2127</v>
      </c>
      <c r="B127" s="2">
        <v>2</v>
      </c>
      <c r="C127" t="str">
        <f t="shared" si="2"/>
        <v>'2127'</v>
      </c>
      <c r="D127" t="str">
        <f>$N$1 &amp; "NewUser-Label" &amp; $N$1</f>
        <v>'NewUser-Label'</v>
      </c>
      <c r="E127" t="str">
        <f>$N$1 &amp; "Novo Usuáro" &amp; $N$1</f>
        <v>'Novo Usuáro'</v>
      </c>
      <c r="F127" t="str">
        <f t="shared" si="3"/>
        <v>insert into sysLocalizationText Values(2127,'2127','NewUser-Label','Novo Usuáro',getdate(),getdate(),2)</v>
      </c>
    </row>
    <row r="128" spans="1:6">
      <c r="A128">
        <v>2128</v>
      </c>
      <c r="B128" s="2">
        <v>2</v>
      </c>
      <c r="C128" t="str">
        <f t="shared" si="2"/>
        <v>'2128'</v>
      </c>
      <c r="D128" t="str">
        <f>$N$1 &amp; "NewUser-Description" &amp; $N$1</f>
        <v>'NewUser-Description'</v>
      </c>
      <c r="E128" t="str">
        <f>$N$1 &amp; "Clique aqui para criar novo usuário" &amp; $N$1</f>
        <v>'Clique aqui para criar novo usuário'</v>
      </c>
      <c r="F128" t="str">
        <f t="shared" si="3"/>
        <v>insert into sysLocalizationText Values(2128,'2128','NewUser-Description','Clique aqui para criar novo usuário',getdate(),getdate(),2)</v>
      </c>
    </row>
    <row r="129" spans="1:6">
      <c r="A129">
        <v>2129</v>
      </c>
      <c r="B129" s="2">
        <v>2</v>
      </c>
      <c r="C129" t="str">
        <f t="shared" si="2"/>
        <v>'2129'</v>
      </c>
      <c r="D129" t="str">
        <f>$N$1 &amp; "Active-Label" &amp; $N$1</f>
        <v>'Active-Label'</v>
      </c>
      <c r="E129" t="str">
        <f>$N$1 &amp; "Ativo" &amp; $N$1</f>
        <v>'Ativo'</v>
      </c>
      <c r="F129" t="str">
        <f t="shared" si="3"/>
        <v>insert into sysLocalizationText Values(2129,'2129','Active-Label','Ativo',getdate(),getdate(),2)</v>
      </c>
    </row>
    <row r="130" spans="1:6">
      <c r="A130">
        <v>2130</v>
      </c>
      <c r="B130" s="2">
        <v>2</v>
      </c>
      <c r="C130" t="str">
        <f t="shared" si="2"/>
        <v>'2130'</v>
      </c>
      <c r="D130" t="str">
        <f>$N$1 &amp; "Locked-Label" &amp; $N$1</f>
        <v>'Locked-Label'</v>
      </c>
      <c r="E130" t="str">
        <f>$N$1 &amp; "Bloqueado" &amp; $N$1</f>
        <v>'Bloqueado'</v>
      </c>
      <c r="F130" t="str">
        <f t="shared" ref="F130:F193" si="8">"insert into sysLocalizationText Values(" &amp;A130 &amp; "," &amp;C130 &amp; "," &amp; D130 &amp; "," &amp; E130 &amp; ",getdate(),getdate()," &amp; B130 &amp; ")"</f>
        <v>insert into sysLocalizationText Values(2130,'2130','Locked-Label','Bloqueado',getdate(),getdate(),2)</v>
      </c>
    </row>
    <row r="131" spans="1:6">
      <c r="A131">
        <v>2131</v>
      </c>
      <c r="B131" s="2">
        <v>2</v>
      </c>
      <c r="C131" t="str">
        <f t="shared" si="2"/>
        <v>'2131'</v>
      </c>
      <c r="D131" t="str">
        <f>$N$1 &amp; "MainData-Label" &amp; $N$1</f>
        <v>'MainData-Label'</v>
      </c>
      <c r="E131" t="str">
        <f>$N$1 &amp; "Dados Principais" &amp; $N$1</f>
        <v>'Dados Principais'</v>
      </c>
      <c r="F131" t="str">
        <f t="shared" si="8"/>
        <v>insert into sysLocalizationText Values(2131,'2131','MainData-Label','Dados Principais',getdate(),getdate(),2)</v>
      </c>
    </row>
    <row r="132" spans="1:6">
      <c r="A132">
        <v>2132</v>
      </c>
      <c r="B132" s="2">
        <v>2</v>
      </c>
      <c r="C132" t="str">
        <f t="shared" si="2"/>
        <v>'2132'</v>
      </c>
      <c r="D132" t="str">
        <f>$N$1 &amp; "User-SecondTabLabel" &amp; $N$1</f>
        <v>'User-SecondTabLabel'</v>
      </c>
      <c r="E132" t="str">
        <f>$N$1 &amp; "Instância e Perfil" &amp; $N$1</f>
        <v>'Instância e Perfil'</v>
      </c>
      <c r="F132" t="str">
        <f t="shared" si="8"/>
        <v>insert into sysLocalizationText Values(2132,'2132','User-SecondTabLabel','Instância e Perfil',getdate(),getdate(),2)</v>
      </c>
    </row>
    <row r="133" spans="1:6">
      <c r="A133">
        <v>2133</v>
      </c>
      <c r="B133" s="2">
        <v>2</v>
      </c>
      <c r="C133" t="str">
        <f t="shared" si="2"/>
        <v>'2133'</v>
      </c>
      <c r="D133" t="str">
        <f>$N$1 &amp; "CreateDate-Label" &amp; $N$1</f>
        <v>'CreateDate-Label'</v>
      </c>
      <c r="E133" t="str">
        <f>$N$1 &amp; "Data de Cadastro" &amp; $N$1</f>
        <v>'Data de Cadastro'</v>
      </c>
      <c r="F133" t="str">
        <f t="shared" si="8"/>
        <v>insert into sysLocalizationText Values(2133,'2133','CreateDate-Label','Data de Cadastro',getdate(),getdate(),2)</v>
      </c>
    </row>
    <row r="134" spans="1:6">
      <c r="A134">
        <v>2134</v>
      </c>
      <c r="B134" s="2">
        <v>2</v>
      </c>
      <c r="C134" t="str">
        <f t="shared" si="2"/>
        <v>'2134'</v>
      </c>
      <c r="D134" t="str">
        <f>$N$1 &amp; "LastLoginDate-Label" &amp; $N$1</f>
        <v>'LastLoginDate-Label'</v>
      </c>
      <c r="E134" t="str">
        <f>$N$1 &amp; "Data do Último Acesso" &amp; $N$1</f>
        <v>'Data do Último Acesso'</v>
      </c>
      <c r="F134" t="str">
        <f t="shared" si="8"/>
        <v>insert into sysLocalizationText Values(2134,'2134','LastLoginDate-Label','Data do Último Acesso',getdate(),getdate(),2)</v>
      </c>
    </row>
    <row r="135" spans="1:6">
      <c r="A135">
        <v>2135</v>
      </c>
      <c r="B135" s="2">
        <v>2</v>
      </c>
      <c r="C135" t="str">
        <f t="shared" si="2"/>
        <v>'2135'</v>
      </c>
      <c r="D135" t="str">
        <f>$N$1 &amp; "DefaultLanguage-Label" &amp; $N$1</f>
        <v>'DefaultLanguage-Label'</v>
      </c>
      <c r="E135" t="str">
        <f>$N$1 &amp; "Idioma Padrão" &amp; $N$1</f>
        <v>'Idioma Padrão'</v>
      </c>
      <c r="F135" t="str">
        <f t="shared" si="8"/>
        <v>insert into sysLocalizationText Values(2135,'2135','DefaultLanguage-Label','Idioma Padrão',getdate(),getdate(),2)</v>
      </c>
    </row>
    <row r="136" spans="1:6">
      <c r="A136">
        <v>2136</v>
      </c>
      <c r="B136" s="2">
        <v>2</v>
      </c>
      <c r="C136" t="str">
        <f t="shared" si="2"/>
        <v>'2136'</v>
      </c>
      <c r="D136" t="str">
        <f>$N$1 &amp; "LastLoginIP-Label" &amp; $N$1</f>
        <v>'LastLoginIP-Label'</v>
      </c>
      <c r="E136" t="str">
        <f>$N$1 &amp; "IP do Último Acesso" &amp; $N$1</f>
        <v>'IP do Último Acesso'</v>
      </c>
      <c r="F136" t="str">
        <f t="shared" si="8"/>
        <v>insert into sysLocalizationText Values(2136,'2136','LastLoginIP-Label','IP do Último Acesso',getdate(),getdate(),2)</v>
      </c>
    </row>
    <row r="137" spans="1:6">
      <c r="A137">
        <v>2137</v>
      </c>
      <c r="B137" s="2">
        <v>2</v>
      </c>
      <c r="C137" t="str">
        <f t="shared" si="2"/>
        <v>'2137'</v>
      </c>
      <c r="D137" t="str">
        <f>$N$1 &amp; "LoginCounter-Label" &amp; $N$1</f>
        <v>'LoginCounter-Label'</v>
      </c>
      <c r="E137" t="str">
        <f>$N$1 &amp; "Total de Acessos" &amp; $N$1</f>
        <v>'Total de Acessos'</v>
      </c>
      <c r="F137" t="str">
        <f t="shared" si="8"/>
        <v>insert into sysLocalizationText Values(2137,'2137','LoginCounter-Label','Total de Acessos',getdate(),getdate(),2)</v>
      </c>
    </row>
    <row r="138" spans="1:6">
      <c r="A138">
        <v>2138</v>
      </c>
      <c r="B138" s="2">
        <v>2</v>
      </c>
      <c r="C138" t="str">
        <f t="shared" si="2"/>
        <v>'2138'</v>
      </c>
      <c r="D138" t="str">
        <f>$N$1 &amp; "PasswordRecovery-Label" &amp; $N$1</f>
        <v>'PasswordRecovery-Label'</v>
      </c>
      <c r="E138" t="str">
        <f>$N$1 &amp; "Código de Recuperação de Senha" &amp; $N$1</f>
        <v>'Código de Recuperação de Senha'</v>
      </c>
      <c r="F138" t="str">
        <f t="shared" si="8"/>
        <v>insert into sysLocalizationText Values(2138,'2138','PasswordRecovery-Label','Código de Recuperação de Senha',getdate(),getdate(),2)</v>
      </c>
    </row>
    <row r="139" spans="1:6">
      <c r="A139">
        <v>2139</v>
      </c>
      <c r="B139" s="2">
        <v>2</v>
      </c>
      <c r="C139" t="str">
        <f t="shared" si="2"/>
        <v>'2139'</v>
      </c>
      <c r="D139" t="str">
        <f>$N$1 &amp; "AlterInstance-Label" &amp; $N$1</f>
        <v>'AlterInstance-Label'</v>
      </c>
      <c r="E139" t="str">
        <f>$N$1 &amp; "Alterar a Instância" &amp; $N$1</f>
        <v>'Alterar a Instância'</v>
      </c>
      <c r="F139" t="str">
        <f t="shared" si="8"/>
        <v>insert into sysLocalizationText Values(2139,'2139','AlterInstance-Label','Alterar a Instância',getdate(),getdate(),2)</v>
      </c>
    </row>
    <row r="140" spans="1:6">
      <c r="A140">
        <v>2140</v>
      </c>
      <c r="B140" s="2">
        <v>2</v>
      </c>
      <c r="C140" t="str">
        <f t="shared" si="2"/>
        <v>'2140'</v>
      </c>
      <c r="D140" t="str">
        <f>$N$1 &amp; "AlterInstance-Description" &amp; $N$1</f>
        <v>'AlterInstance-Description'</v>
      </c>
      <c r="E140" t="str">
        <f>$N$1 &amp; "Selecione uma Instância para alterar" &amp; $N$1</f>
        <v>'Selecione uma Instância para alterar'</v>
      </c>
      <c r="F140" t="str">
        <f t="shared" si="8"/>
        <v>insert into sysLocalizationText Values(2140,'2140','AlterInstance-Description','Selecione uma Instância para alterar',getdate(),getdate(),2)</v>
      </c>
    </row>
    <row r="141" spans="1:6">
      <c r="A141">
        <v>2141</v>
      </c>
      <c r="B141" s="2">
        <v>2</v>
      </c>
      <c r="C141" t="str">
        <f t="shared" si="2"/>
        <v>'2141'</v>
      </c>
      <c r="D141" t="str">
        <f>$N$1 &amp; "Altering-Label" &amp; $N$1</f>
        <v>'Altering-Label'</v>
      </c>
      <c r="E141" t="str">
        <f>$N$1 &amp; "Alterando..." &amp; $N$1</f>
        <v>'Alterando...'</v>
      </c>
      <c r="F141" t="str">
        <f t="shared" si="8"/>
        <v>insert into sysLocalizationText Values(2141,'2141','Altering-Label','Alterando...',getdate(),getdate(),2)</v>
      </c>
    </row>
    <row r="142" spans="1:6">
      <c r="A142">
        <v>2142</v>
      </c>
      <c r="B142" s="2">
        <v>2</v>
      </c>
      <c r="C142" t="str">
        <f t="shared" si="2"/>
        <v>'2142'</v>
      </c>
      <c r="D142" t="str">
        <f>$N$1 &amp; "AlterRole-Label" &amp; $N$1</f>
        <v>'AlterRole-Label'</v>
      </c>
      <c r="E142" t="str">
        <f>$N$1 &amp; "Alterar Perfil" &amp; $N$1</f>
        <v>'Alterar Perfil'</v>
      </c>
      <c r="F142" t="str">
        <f t="shared" si="8"/>
        <v>insert into sysLocalizationText Values(2142,'2142','AlterRole-Label','Alterar Perfil',getdate(),getdate(),2)</v>
      </c>
    </row>
    <row r="143" spans="1:6">
      <c r="A143">
        <v>2143</v>
      </c>
      <c r="B143" s="2">
        <v>2</v>
      </c>
      <c r="C143" t="str">
        <f t="shared" si="2"/>
        <v>'2143'</v>
      </c>
      <c r="D143" t="str">
        <f>$N$1 &amp; "AlterRole-Description" &amp; $N$1</f>
        <v>'AlterRole-Description'</v>
      </c>
      <c r="E143" t="str">
        <f>$N$1 &amp; "Selecione um Perfil para alterar" &amp; $N$1</f>
        <v>'Selecione um Perfil para alterar'</v>
      </c>
      <c r="F143" t="str">
        <f t="shared" si="8"/>
        <v>insert into sysLocalizationText Values(2143,'2143','AlterRole-Description','Selecione um Perfil para alterar',getdate(),getdate(),2)</v>
      </c>
    </row>
    <row r="144" spans="1:6">
      <c r="A144">
        <v>2144</v>
      </c>
      <c r="B144" s="2">
        <v>2</v>
      </c>
      <c r="C144" t="str">
        <f t="shared" si="2"/>
        <v>'2144'</v>
      </c>
      <c r="D144" t="str">
        <f>$N$1 &amp; "UserStatus-Label" &amp; $N$1</f>
        <v>'UserStatus-Label'</v>
      </c>
      <c r="E144" t="str">
        <f>$N$1 &amp; "Status do Usuário" &amp; $N$1</f>
        <v>'Status do Usuário'</v>
      </c>
      <c r="F144" t="str">
        <f t="shared" si="8"/>
        <v>insert into sysLocalizationText Values(2144,'2144','UserStatus-Label','Status do Usuário',getdate(),getdate(),2)</v>
      </c>
    </row>
    <row r="145" spans="1:6">
      <c r="A145">
        <v>2145</v>
      </c>
      <c r="B145" s="2">
        <v>2</v>
      </c>
      <c r="C145" t="str">
        <f t="shared" si="2"/>
        <v>'2145'</v>
      </c>
      <c r="D145" t="str">
        <f>$N$1 &amp; "ChangeUserState-Description" &amp; $N$1</f>
        <v>'ChangeUserState-Description'</v>
      </c>
      <c r="E145" t="str">
        <f>$N$1 &amp; "Clique aqui para alterar o status" &amp; $N$1</f>
        <v>'Clique aqui para alterar o status'</v>
      </c>
      <c r="F145" t="str">
        <f t="shared" si="8"/>
        <v>insert into sysLocalizationText Values(2145,'2145','ChangeUserState-Description','Clique aqui para alterar o status',getdate(),getdate(),2)</v>
      </c>
    </row>
    <row r="146" spans="1:6">
      <c r="A146">
        <v>2146</v>
      </c>
      <c r="B146" s="2">
        <v>2</v>
      </c>
      <c r="C146" t="str">
        <f t="shared" si="2"/>
        <v>'2146'</v>
      </c>
      <c r="D146" t="str">
        <f>$N$1 &amp; "ChangeUserState-Label" &amp; $N$1</f>
        <v>'ChangeUserState-Label'</v>
      </c>
      <c r="E146" t="str">
        <f>$N$1 &amp; "Atualizar Status" &amp; $N$1</f>
        <v>'Atualizar Status'</v>
      </c>
      <c r="F146" t="str">
        <f t="shared" si="8"/>
        <v>insert into sysLocalizationText Values(2146,'2146','ChangeUserState-Label','Atualizar Status',getdate(),getdate(),2)</v>
      </c>
    </row>
    <row r="147" spans="1:6">
      <c r="A147">
        <v>2147</v>
      </c>
      <c r="B147" s="2">
        <v>2</v>
      </c>
      <c r="C147" t="str">
        <f t="shared" si="2"/>
        <v>'2147'</v>
      </c>
      <c r="D147" t="str">
        <f>$N$1 &amp; "CreateUser-Label" &amp; $N$1</f>
        <v>'CreateUser-Label'</v>
      </c>
      <c r="E147" t="str">
        <f>$N$1 &amp; "Novo Usuário" &amp; $N$1</f>
        <v>'Novo Usuário'</v>
      </c>
      <c r="F147" t="str">
        <f t="shared" si="8"/>
        <v>insert into sysLocalizationText Values(2147,'2147','CreateUser-Label','Novo Usuário',getdate(),getdate(),2)</v>
      </c>
    </row>
    <row r="148" spans="1:6">
      <c r="A148">
        <v>2148</v>
      </c>
      <c r="B148" s="2">
        <v>2</v>
      </c>
      <c r="C148" t="str">
        <f t="shared" si="2"/>
        <v>'2148'</v>
      </c>
      <c r="D148" t="str">
        <f>$N$1 &amp; "CreateUser-Description" &amp; $N$1</f>
        <v>'CreateUser-Description'</v>
      </c>
      <c r="E148" t="str">
        <f>$N$1 &amp; "Clique aqui para cciar o novo usuário" &amp; $N$1</f>
        <v>'Clique aqui para cciar o novo usuário'</v>
      </c>
      <c r="F148" t="str">
        <f t="shared" si="8"/>
        <v>insert into sysLocalizationText Values(2148,'2148','CreateUser-Description','Clique aqui para cciar o novo usuário',getdate(),getdate(),2)</v>
      </c>
    </row>
    <row r="149" spans="1:6">
      <c r="A149">
        <v>2149</v>
      </c>
      <c r="B149" s="2">
        <v>2</v>
      </c>
      <c r="C149" t="str">
        <f t="shared" si="2"/>
        <v>'2149'</v>
      </c>
      <c r="D149" t="str">
        <f>$N$1 &amp; "CreateUserButton-Label" &amp; $N$1</f>
        <v>'CreateUserButton-Label'</v>
      </c>
      <c r="E149" t="str">
        <f>$N$1 &amp; "Salvar" &amp; $N$1</f>
        <v>'Salvar'</v>
      </c>
      <c r="F149" t="str">
        <f t="shared" si="8"/>
        <v>insert into sysLocalizationText Values(2149,'2149','CreateUserButton-Label','Salvar',getdate(),getdate(),2)</v>
      </c>
    </row>
    <row r="150" spans="1:6">
      <c r="A150">
        <v>2150</v>
      </c>
      <c r="B150" s="2">
        <v>2</v>
      </c>
      <c r="C150" t="str">
        <f t="shared" si="2"/>
        <v>'2150'</v>
      </c>
      <c r="D150" t="str">
        <f>$N$1 &amp; "AlterStatus-Error" &amp; $N$1</f>
        <v>'AlterStatus-Error'</v>
      </c>
      <c r="E150" t="str">
        <f>$N$1 &amp; "Error ao alterar o status do usuário" &amp; $N$1</f>
        <v>'Error ao alterar o status do usuário'</v>
      </c>
      <c r="F150" t="str">
        <f t="shared" si="8"/>
        <v>insert into sysLocalizationText Values(2150,'2150','AlterStatus-Error','Error ao alterar o status do usuário',getdate(),getdate(),2)</v>
      </c>
    </row>
    <row r="151" spans="1:6">
      <c r="A151">
        <v>2151</v>
      </c>
      <c r="B151" s="2">
        <v>2</v>
      </c>
      <c r="C151" t="str">
        <f t="shared" si="2"/>
        <v>'2151'</v>
      </c>
      <c r="D151" t="str">
        <f>$N$1 &amp; "AlterStatus-Success" &amp; $N$1</f>
        <v>'AlterStatus-Success'</v>
      </c>
      <c r="E151" t="str">
        <f>$N$1 &amp; "O status do usuário foi alterado com sucesso" &amp; $N$1</f>
        <v>'O status do usuário foi alterado com sucesso'</v>
      </c>
      <c r="F151" t="str">
        <f t="shared" si="8"/>
        <v>insert into sysLocalizationText Values(2151,'2151','AlterStatus-Success','O status do usuário foi alterado com sucesso',getdate(),getdate(),2)</v>
      </c>
    </row>
    <row r="152" spans="1:6">
      <c r="A152">
        <v>2152</v>
      </c>
      <c r="B152" s="2">
        <v>2</v>
      </c>
      <c r="C152" t="str">
        <f t="shared" si="2"/>
        <v>'2152'</v>
      </c>
      <c r="D152" t="str">
        <f>$N$1 &amp; "AlterInstance-Error" &amp; $N$1</f>
        <v>'AlterInstance-Error'</v>
      </c>
      <c r="E152" t="str">
        <f>$N$1 &amp; "Erro ao alterar instância" &amp; $N$1</f>
        <v>'Erro ao alterar instância'</v>
      </c>
      <c r="F152" t="str">
        <f t="shared" si="8"/>
        <v>insert into sysLocalizationText Values(2152,'2152','AlterInstance-Error','Erro ao alterar instância',getdate(),getdate(),2)</v>
      </c>
    </row>
    <row r="153" spans="1:6">
      <c r="A153">
        <v>2153</v>
      </c>
      <c r="B153" s="2">
        <v>2</v>
      </c>
      <c r="C153" t="str">
        <f t="shared" si="2"/>
        <v>'2153'</v>
      </c>
      <c r="D153" t="str">
        <f>$N$1 &amp; "AlterInstance-Success" &amp; $N$1</f>
        <v>'AlterInstance-Success'</v>
      </c>
      <c r="E153" t="str">
        <f>$N$1 &amp; "A instância foi alterada com sucesso" &amp; $N$1</f>
        <v>'A instância foi alterada com sucesso'</v>
      </c>
      <c r="F153" t="str">
        <f t="shared" si="8"/>
        <v>insert into sysLocalizationText Values(2153,'2153','AlterInstance-Success','A instância foi alterada com sucesso',getdate(),getdate(),2)</v>
      </c>
    </row>
    <row r="154" spans="1:6">
      <c r="A154">
        <v>2154</v>
      </c>
      <c r="B154" s="2">
        <v>2</v>
      </c>
      <c r="C154" t="str">
        <f t="shared" si="2"/>
        <v>'2154'</v>
      </c>
      <c r="D154" t="str">
        <f>$N$1 &amp; "AlterRole-Error" &amp; $N$1</f>
        <v>'AlterRole-Error'</v>
      </c>
      <c r="E154" t="str">
        <f>$N$1 &amp; "Erro ao alterar o perfil." &amp; $N$1</f>
        <v>'Erro ao alterar o perfil.'</v>
      </c>
      <c r="F154" t="str">
        <f t="shared" si="8"/>
        <v>insert into sysLocalizationText Values(2154,'2154','AlterRole-Error','Erro ao alterar o perfil.',getdate(),getdate(),2)</v>
      </c>
    </row>
    <row r="155" spans="1:6">
      <c r="A155">
        <v>2155</v>
      </c>
      <c r="B155" s="2">
        <v>2</v>
      </c>
      <c r="C155" t="str">
        <f t="shared" si="2"/>
        <v>'2155'</v>
      </c>
      <c r="D155" t="str">
        <f>$N$1 &amp; "AlterRole-Success" &amp; $N$1</f>
        <v>'AlterRole-Success'</v>
      </c>
      <c r="E155" t="str">
        <f>$N$1 &amp; "O status foi alterado com sucesso" &amp; $N$1</f>
        <v>'O status foi alterado com sucesso'</v>
      </c>
      <c r="F155" t="str">
        <f t="shared" si="8"/>
        <v>insert into sysLocalizationText Values(2155,'2155','AlterRole-Success','O status foi alterado com sucesso',getdate(),getdate(),2)</v>
      </c>
    </row>
    <row r="156" spans="1:6">
      <c r="A156">
        <v>2156</v>
      </c>
      <c r="B156" s="2">
        <v>2</v>
      </c>
      <c r="C156" t="str">
        <f t="shared" si="2"/>
        <v>'2156'</v>
      </c>
      <c r="D156" t="str">
        <f>$N$1 &amp; "Instance-PageTitle" &amp; $N$1</f>
        <v>'Instance-PageTitle'</v>
      </c>
      <c r="E156" t="str">
        <f>$N$1 &amp; "Instância" &amp; $N$1</f>
        <v>'Instância'</v>
      </c>
      <c r="F156" t="str">
        <f t="shared" si="8"/>
        <v>insert into sysLocalizationText Values(2156,'2156','Instance-PageTitle','Instância',getdate(),getdate(),2)</v>
      </c>
    </row>
    <row r="157" spans="1:6">
      <c r="A157">
        <v>2157</v>
      </c>
      <c r="B157" s="2">
        <v>2</v>
      </c>
      <c r="C157" t="str">
        <f t="shared" si="2"/>
        <v>'2157'</v>
      </c>
      <c r="D157" t="str">
        <f>$N$1 &amp; "SearchByInstanceName-Label" &amp; $N$1</f>
        <v>'SearchByInstanceName-Label'</v>
      </c>
      <c r="E157" t="str">
        <f>$N$1 &amp; "Por Nome da Instância" &amp; $N$1</f>
        <v>'Por Nome da Instância'</v>
      </c>
      <c r="F157" t="str">
        <f t="shared" si="8"/>
        <v>insert into sysLocalizationText Values(2157,'2157','SearchByInstanceName-Label','Por Nome da Instância',getdate(),getdate(),2)</v>
      </c>
    </row>
    <row r="158" spans="1:6">
      <c r="A158">
        <v>2158</v>
      </c>
      <c r="B158" s="2">
        <v>2</v>
      </c>
      <c r="C158" t="str">
        <f t="shared" si="2"/>
        <v>'2158'</v>
      </c>
      <c r="D158" t="str">
        <f>$N$1 &amp; "SearchByInstanceName-Description" &amp; $N$1</f>
        <v>'SearchByInstanceName-Description'</v>
      </c>
      <c r="E158" t="str">
        <f>$N$1 &amp; "Pesquisar por Nome da Instância" &amp; $N$1</f>
        <v>'Pesquisar por Nome da Instância'</v>
      </c>
      <c r="F158" t="str">
        <f t="shared" si="8"/>
        <v>insert into sysLocalizationText Values(2158,'2158','SearchByInstanceName-Description','Pesquisar por Nome da Instância',getdate(),getdate(),2)</v>
      </c>
    </row>
    <row r="159" spans="1:6">
      <c r="A159">
        <v>2159</v>
      </c>
      <c r="B159" s="2">
        <v>2</v>
      </c>
      <c r="C159" t="str">
        <f t="shared" si="2"/>
        <v>'2159'</v>
      </c>
      <c r="D159" t="str">
        <f>$N$1 &amp; "SearchByInstanceTypeName-Label" &amp; $N$1</f>
        <v>'SearchByInstanceTypeName-Label'</v>
      </c>
      <c r="E159" t="str">
        <f>$N$1 &amp; "Por Tipo da Instância" &amp; $N$1</f>
        <v>'Por Tipo da Instância'</v>
      </c>
      <c r="F159" t="str">
        <f t="shared" si="8"/>
        <v>insert into sysLocalizationText Values(2159,'2159','SearchByInstanceTypeName-Label','Por Tipo da Instância',getdate(),getdate(),2)</v>
      </c>
    </row>
    <row r="160" spans="1:6">
      <c r="A160">
        <v>2160</v>
      </c>
      <c r="B160" s="2">
        <v>2</v>
      </c>
      <c r="C160" t="str">
        <f t="shared" si="2"/>
        <v>'2160'</v>
      </c>
      <c r="D160" t="str">
        <f>$N$1 &amp; "SearchByInstanceTypeName-Description" &amp; $N$1</f>
        <v>'SearchByInstanceTypeName-Description'</v>
      </c>
      <c r="E160" t="str">
        <f>$N$1 &amp; "Pesquisar por Tipo da Instância" &amp; $N$1</f>
        <v>'Pesquisar por Tipo da Instância'</v>
      </c>
      <c r="F160" t="str">
        <f t="shared" si="8"/>
        <v>insert into sysLocalizationText Values(2160,'2160','SearchByInstanceTypeName-Description','Pesquisar por Tipo da Instância',getdate(),getdate(),2)</v>
      </c>
    </row>
    <row r="161" spans="1:6">
      <c r="A161">
        <v>2161</v>
      </c>
      <c r="B161" s="2">
        <v>2</v>
      </c>
      <c r="C161" t="str">
        <f t="shared" si="2"/>
        <v>'2161'</v>
      </c>
      <c r="D161" t="str">
        <f>$N$1 &amp; "NewInstance-Label" &amp; $N$1</f>
        <v>'NewInstance-Label'</v>
      </c>
      <c r="E161" t="str">
        <f>$N$1 &amp; "Nova Instância" &amp; $N$1</f>
        <v>'Nova Instância'</v>
      </c>
      <c r="F161" t="str">
        <f t="shared" si="8"/>
        <v>insert into sysLocalizationText Values(2161,'2161','NewInstance-Label','Nova Instância',getdate(),getdate(),2)</v>
      </c>
    </row>
    <row r="162" spans="1:6">
      <c r="A162">
        <v>2162</v>
      </c>
      <c r="B162" s="2">
        <v>2</v>
      </c>
      <c r="C162" t="str">
        <f t="shared" si="2"/>
        <v>'2162'</v>
      </c>
      <c r="D162" t="str">
        <f>$N$1 &amp; "NewInstance-Description" &amp; $N$1</f>
        <v>'NewInstance-Description'</v>
      </c>
      <c r="E162" t="str">
        <f>$N$1 &amp; "Clique aqui para criar uma nova Instância" &amp; $N$1</f>
        <v>'Clique aqui para criar uma nova Instância'</v>
      </c>
      <c r="F162" t="str">
        <f t="shared" si="8"/>
        <v>insert into sysLocalizationText Values(2162,'2162','NewInstance-Description','Clique aqui para criar uma nova Instância',getdate(),getdate(),2)</v>
      </c>
    </row>
    <row r="163" spans="1:6">
      <c r="A163">
        <v>2163</v>
      </c>
      <c r="B163" s="2">
        <v>2</v>
      </c>
      <c r="C163" t="str">
        <f t="shared" si="2"/>
        <v>'2163'</v>
      </c>
      <c r="D163" t="str">
        <f>$N$1 &amp; "InstanceTypeName-Label" &amp; $N$1</f>
        <v>'InstanceTypeName-Label'</v>
      </c>
      <c r="E163" t="str">
        <f>$N$1 &amp; "Tipo de Instância" &amp; $N$1</f>
        <v>'Tipo de Instância'</v>
      </c>
      <c r="F163" t="str">
        <f t="shared" si="8"/>
        <v>insert into sysLocalizationText Values(2163,'2163','InstanceTypeName-Label','Tipo de Instância',getdate(),getdate(),2)</v>
      </c>
    </row>
    <row r="164" spans="1:6">
      <c r="A164">
        <v>2164</v>
      </c>
      <c r="B164" s="2">
        <v>2</v>
      </c>
      <c r="C164" t="str">
        <f t="shared" si="2"/>
        <v>'2164'</v>
      </c>
      <c r="D164" t="str">
        <f>$N$1 &amp; "InstanceName-Label" &amp; $N$1</f>
        <v>'InstanceName-Label'</v>
      </c>
      <c r="E164" t="str">
        <f>$N$1 &amp; "Nome da Instância" &amp; $N$1</f>
        <v>'Nome da Instância'</v>
      </c>
      <c r="F164" t="str">
        <f t="shared" si="8"/>
        <v>insert into sysLocalizationText Values(2164,'2164','InstanceName-Label','Nome da Instância',getdate(),getdate(),2)</v>
      </c>
    </row>
    <row r="165" spans="1:6">
      <c r="A165">
        <v>2165</v>
      </c>
      <c r="B165" s="2">
        <v>2</v>
      </c>
      <c r="C165" t="str">
        <f t="shared" si="2"/>
        <v>'2165'</v>
      </c>
      <c r="D165" t="str">
        <f>$N$1 &amp; "InstanceRecord-Label" &amp; $N$1</f>
        <v>'InstanceRecord-Label'</v>
      </c>
      <c r="E165" t="str">
        <f>$N$1 &amp; "Dados da Instância" &amp; $N$1</f>
        <v>'Dados da Instância'</v>
      </c>
      <c r="F165" t="str">
        <f t="shared" si="8"/>
        <v>insert into sysLocalizationText Values(2165,'2165','InstanceRecord-Label','Dados da Instância',getdate(),getdate(),2)</v>
      </c>
    </row>
    <row r="166" spans="1:6">
      <c r="A166">
        <v>2166</v>
      </c>
      <c r="B166" s="2">
        <v>2</v>
      </c>
      <c r="C166" t="str">
        <f t="shared" si="2"/>
        <v>'2166'</v>
      </c>
      <c r="D166" t="str">
        <f>$N$1 &amp; "SaveInstanceButton-Label" &amp; $N$1</f>
        <v>'SaveInstanceButton-Label'</v>
      </c>
      <c r="E166" t="str">
        <f>$N$1 &amp; "Salvar Instância" &amp; $N$1</f>
        <v>'Salvar Instância'</v>
      </c>
      <c r="F166" t="str">
        <f t="shared" si="8"/>
        <v>insert into sysLocalizationText Values(2166,'2166','SaveInstanceButton-Label','Salvar Instância',getdate(),getdate(),2)</v>
      </c>
    </row>
    <row r="167" spans="1:6">
      <c r="A167">
        <v>2167</v>
      </c>
      <c r="B167" s="2">
        <v>2</v>
      </c>
      <c r="C167" t="str">
        <f t="shared" si="2"/>
        <v>'2167'</v>
      </c>
      <c r="D167" t="str">
        <f>$N$1 &amp; "SaveInstanceButton-Description" &amp; $N$1</f>
        <v>'SaveInstanceButton-Description'</v>
      </c>
      <c r="E167" t="str">
        <f>$N$1 &amp; "Clque aqui para salvar a Instância" &amp; $N$1</f>
        <v>'Clque aqui para salvar a Instância'</v>
      </c>
      <c r="F167" t="str">
        <f t="shared" si="8"/>
        <v>insert into sysLocalizationText Values(2167,'2167','SaveInstanceButton-Description','Clque aqui para salvar a Instância',getdate(),getdate(),2)</v>
      </c>
    </row>
    <row r="168" spans="1:6">
      <c r="A168">
        <v>2168</v>
      </c>
      <c r="B168" s="2">
        <v>2</v>
      </c>
      <c r="C168" t="str">
        <f t="shared" si="2"/>
        <v>'2168'</v>
      </c>
      <c r="D168" t="str">
        <f>$N$1 &amp; "DataLog-PageTitle" &amp; $N$1</f>
        <v>'DataLog-PageTitle'</v>
      </c>
      <c r="E168" t="str">
        <f>$N$1 &amp; "Log de Dados" &amp; $N$1</f>
        <v>'Log de Dados'</v>
      </c>
      <c r="F168" t="str">
        <f t="shared" si="8"/>
        <v>insert into sysLocalizationText Values(2168,'2168','DataLog-PageTitle','Log de Dados',getdate(),getdate(),2)</v>
      </c>
    </row>
    <row r="169" spans="1:6">
      <c r="A169">
        <v>2169</v>
      </c>
      <c r="B169" s="2">
        <v>2</v>
      </c>
      <c r="C169" t="str">
        <f t="shared" si="2"/>
        <v>'2169'</v>
      </c>
      <c r="D169" t="str">
        <f>$N$1 &amp; "SearchByOperationType-Label" &amp; $N$1</f>
        <v>'SearchByOperationType-Label'</v>
      </c>
      <c r="E169" t="str">
        <f>$N$1 &amp; "Por Tipo de Operação" &amp; $N$1</f>
        <v>'Por Tipo de Operação'</v>
      </c>
      <c r="F169" t="str">
        <f t="shared" si="8"/>
        <v>insert into sysLocalizationText Values(2169,'2169','SearchByOperationType-Label','Por Tipo de Operação',getdate(),getdate(),2)</v>
      </c>
    </row>
    <row r="170" spans="1:6">
      <c r="A170">
        <v>2170</v>
      </c>
      <c r="B170" s="2">
        <v>2</v>
      </c>
      <c r="C170" t="str">
        <f t="shared" ref="C170:C233" si="9">"'" &amp; A170 &amp; "'"</f>
        <v>'2170'</v>
      </c>
      <c r="D170" t="str">
        <f>$N$1 &amp; "SearchByObject-Label" &amp; $N$1</f>
        <v>'SearchByObject-Label'</v>
      </c>
      <c r="E170" t="str">
        <f>$N$1 &amp; "Por Objeto" &amp; $N$1</f>
        <v>'Por Objeto'</v>
      </c>
      <c r="F170" t="str">
        <f t="shared" si="8"/>
        <v>insert into sysLocalizationText Values(2170,'2170','SearchByObject-Label','Por Objeto',getdate(),getdate(),2)</v>
      </c>
    </row>
    <row r="171" spans="1:6">
      <c r="A171">
        <v>2171</v>
      </c>
      <c r="B171" s="2">
        <v>2</v>
      </c>
      <c r="C171" t="str">
        <f t="shared" si="9"/>
        <v>'2171'</v>
      </c>
      <c r="D171" t="str">
        <f>$N$1 &amp; "SearchByIntervalDate-Label" &amp; $N$1</f>
        <v>'SearchByIntervalDate-Label'</v>
      </c>
      <c r="E171" t="str">
        <f>$N$1 &amp; "Por Intervalo de Datas" &amp; $N$1</f>
        <v>'Por Intervalo de Datas'</v>
      </c>
      <c r="F171" t="str">
        <f t="shared" si="8"/>
        <v>insert into sysLocalizationText Values(2171,'2171','SearchByIntervalDate-Label','Por Intervalo de Datas',getdate(),getdate(),2)</v>
      </c>
    </row>
    <row r="172" spans="1:6">
      <c r="A172">
        <v>2172</v>
      </c>
      <c r="B172" s="2">
        <v>2</v>
      </c>
      <c r="C172" t="str">
        <f t="shared" si="9"/>
        <v>'2172'</v>
      </c>
      <c r="D172" t="str">
        <f>$N$1 &amp; "SearchByInicialDate-Label" &amp; $N$1</f>
        <v>'SearchByInicialDate-Label'</v>
      </c>
      <c r="E172" t="str">
        <f>$N$1 &amp; "Data Inicial" &amp; $N$1</f>
        <v>'Data Inicial'</v>
      </c>
      <c r="F172" t="str">
        <f t="shared" si="8"/>
        <v>insert into sysLocalizationText Values(2172,'2172','SearchByInicialDate-Label','Data Inicial',getdate(),getdate(),2)</v>
      </c>
    </row>
    <row r="173" spans="1:6">
      <c r="A173">
        <v>2173</v>
      </c>
      <c r="B173" s="2">
        <v>2</v>
      </c>
      <c r="C173" t="str">
        <f t="shared" si="9"/>
        <v>'2173'</v>
      </c>
      <c r="D173" t="str">
        <f>$N$1 &amp; "SearchByFinalDate-Label" &amp; $N$1</f>
        <v>'SearchByFinalDate-Label'</v>
      </c>
      <c r="E173" t="str">
        <f>$N$1 &amp; "Data Final" &amp; $N$1</f>
        <v>'Data Final'</v>
      </c>
      <c r="F173" t="str">
        <f t="shared" si="8"/>
        <v>insert into sysLocalizationText Values(2173,'2173','SearchByFinalDate-Label','Data Final',getdate(),getdate(),2)</v>
      </c>
    </row>
    <row r="174" spans="1:6">
      <c r="A174">
        <v>2174</v>
      </c>
      <c r="B174" s="2">
        <v>2</v>
      </c>
      <c r="C174" t="str">
        <f t="shared" si="9"/>
        <v>'2174'</v>
      </c>
      <c r="D174" t="str">
        <f>$N$1 &amp; "SearchByRecordID-Label" &amp; $N$1</f>
        <v>'SearchByRecordID-Label'</v>
      </c>
      <c r="E174" t="str">
        <f>$N$1 &amp; "Por ID do Registro" &amp; $N$1</f>
        <v>'Por ID do Registro'</v>
      </c>
      <c r="F174" t="str">
        <f t="shared" si="8"/>
        <v>insert into sysLocalizationText Values(2174,'2174','SearchByRecordID-Label','Por ID do Registro',getdate(),getdate(),2)</v>
      </c>
    </row>
    <row r="175" spans="1:6">
      <c r="A175">
        <v>2175</v>
      </c>
      <c r="B175" s="2">
        <v>2</v>
      </c>
      <c r="C175" t="str">
        <f t="shared" si="9"/>
        <v>'2175'</v>
      </c>
      <c r="D175" t="str">
        <f>$N$1 &amp; "TableName-Label" &amp; $N$1</f>
        <v>'TableName-Label'</v>
      </c>
      <c r="E175" t="str">
        <f>$N$1 &amp; "Tabela" &amp; $N$1</f>
        <v>'Tabela'</v>
      </c>
      <c r="F175" t="str">
        <f t="shared" si="8"/>
        <v>insert into sysLocalizationText Values(2175,'2175','TableName-Label','Tabela',getdate(),getdate(),2)</v>
      </c>
    </row>
    <row r="176" spans="1:6">
      <c r="A176">
        <v>2176</v>
      </c>
      <c r="B176" s="2">
        <v>2</v>
      </c>
      <c r="C176" t="str">
        <f t="shared" si="9"/>
        <v>'2176'</v>
      </c>
      <c r="D176" t="str">
        <f>$N$1 &amp; "OperationText-Label" &amp; $N$1</f>
        <v>'OperationText-Label'</v>
      </c>
      <c r="E176" t="str">
        <f>$N$1 &amp; "Operação" &amp; $N$1</f>
        <v>'Operação'</v>
      </c>
      <c r="F176" t="str">
        <f t="shared" si="8"/>
        <v>insert into sysLocalizationText Values(2176,'2176','OperationText-Label','Operação',getdate(),getdate(),2)</v>
      </c>
    </row>
    <row r="177" spans="1:6">
      <c r="A177">
        <v>2177</v>
      </c>
      <c r="B177" s="2">
        <v>2</v>
      </c>
      <c r="C177" t="str">
        <f t="shared" si="9"/>
        <v>'2177'</v>
      </c>
      <c r="D177" t="str">
        <f>$N$1 &amp; "LogID-Label" &amp; $N$1</f>
        <v>'LogID-Label'</v>
      </c>
      <c r="E177" t="str">
        <f>$N$1 &amp; "Log ID" &amp; $N$1</f>
        <v>'Log ID'</v>
      </c>
      <c r="F177" t="str">
        <f t="shared" si="8"/>
        <v>insert into sysLocalizationText Values(2177,'2177','LogID-Label','Log ID',getdate(),getdate(),2)</v>
      </c>
    </row>
    <row r="178" spans="1:6">
      <c r="A178">
        <v>2178</v>
      </c>
      <c r="B178" s="2">
        <v>2</v>
      </c>
      <c r="C178" t="str">
        <f t="shared" si="9"/>
        <v>'2178'</v>
      </c>
      <c r="D178" t="str">
        <f>$N$1 &amp; "LogInformation-Label" &amp; $N$1</f>
        <v>'LogInformation-Label'</v>
      </c>
      <c r="E178" t="str">
        <f>$N$1 &amp; "Informação do Log" &amp; $N$1</f>
        <v>'Informação do Log'</v>
      </c>
      <c r="F178" t="str">
        <f t="shared" si="8"/>
        <v>insert into sysLocalizationText Values(2178,'2178','LogInformation-Label','Informação do Log',getdate(),getdate(),2)</v>
      </c>
    </row>
    <row r="179" spans="1:6">
      <c r="A179">
        <v>2179</v>
      </c>
      <c r="B179" s="2">
        <v>2</v>
      </c>
      <c r="C179" t="str">
        <f t="shared" si="9"/>
        <v>'2179'</v>
      </c>
      <c r="D179" t="str">
        <f>$N$1 &amp; "ShowTimeLine-Label" &amp; $N$1</f>
        <v>'ShowTimeLine-Label'</v>
      </c>
      <c r="E179" t="str">
        <f>$N$1 &amp; "Exibir Linha do Tempo" &amp; $N$1</f>
        <v>'Exibir Linha do Tempo'</v>
      </c>
      <c r="F179" t="str">
        <f t="shared" si="8"/>
        <v>insert into sysLocalizationText Values(2179,'2179','ShowTimeLine-Label','Exibir Linha do Tempo',getdate(),getdate(),2)</v>
      </c>
    </row>
    <row r="180" spans="1:6">
      <c r="A180">
        <v>2180</v>
      </c>
      <c r="B180" s="2">
        <v>2</v>
      </c>
      <c r="C180" t="str">
        <f t="shared" si="9"/>
        <v>'2180'</v>
      </c>
      <c r="D180" t="str">
        <f>$N$1 &amp; "OldVersionData-Label" &amp; $N$1</f>
        <v>'OldVersionData-Label'</v>
      </c>
      <c r="E180" t="str">
        <f>$N$1 &amp; "Versão Antiga" &amp; $N$1</f>
        <v>'Versão Antiga'</v>
      </c>
      <c r="F180" t="str">
        <f t="shared" si="8"/>
        <v>insert into sysLocalizationText Values(2180,'2180','OldVersionData-Label','Versão Antiga',getdate(),getdate(),2)</v>
      </c>
    </row>
    <row r="181" spans="1:6">
      <c r="A181">
        <v>2181</v>
      </c>
      <c r="B181" s="2">
        <v>2</v>
      </c>
      <c r="C181" t="str">
        <f t="shared" si="9"/>
        <v>'2181'</v>
      </c>
      <c r="D181" t="str">
        <f>$N$1 &amp; "HasNoOldVersion-Label" &amp; $N$1</f>
        <v>'HasNoOldVersion-Label'</v>
      </c>
      <c r="E181" t="str">
        <f>$N$1 &amp; "Não existe versão antiga" &amp; $N$1</f>
        <v>'Não existe versão antiga'</v>
      </c>
      <c r="F181" t="str">
        <f t="shared" si="8"/>
        <v>insert into sysLocalizationText Values(2181,'2181','HasNoOldVersion-Label','Não existe versão antiga',getdate(),getdate(),2)</v>
      </c>
    </row>
    <row r="182" spans="1:6">
      <c r="A182">
        <v>2182</v>
      </c>
      <c r="B182" s="2">
        <v>2</v>
      </c>
      <c r="C182" t="str">
        <f t="shared" si="9"/>
        <v>'2182'</v>
      </c>
      <c r="D182" t="str">
        <f>$N$1 &amp; "CurrentVersionData-Label" &amp; $N$1</f>
        <v>'CurrentVersionData-Label'</v>
      </c>
      <c r="E182" t="str">
        <f>$N$1 &amp; "Versão Atual" &amp; $N$1</f>
        <v>'Versão Atual'</v>
      </c>
      <c r="F182" t="str">
        <f t="shared" si="8"/>
        <v>insert into sysLocalizationText Values(2182,'2182','CurrentVersionData-Label','Versão Atual',getdate(),getdate(),2)</v>
      </c>
    </row>
    <row r="183" spans="1:6">
      <c r="A183">
        <v>2183</v>
      </c>
      <c r="B183" s="2">
        <v>2</v>
      </c>
      <c r="C183" t="str">
        <f t="shared" si="9"/>
        <v>'2183'</v>
      </c>
      <c r="D183" t="str">
        <f>$N$1 &amp; "HasNoCurrentVersion-Label" &amp; $N$1</f>
        <v>'HasNoCurrentVersion-Label'</v>
      </c>
      <c r="E183" t="str">
        <f>$N$1 &amp; "Não existe versão atual" &amp; $N$1</f>
        <v>'Não existe versão atual'</v>
      </c>
      <c r="F183" t="str">
        <f t="shared" si="8"/>
        <v>insert into sysLocalizationText Values(2183,'2183','HasNoCurrentVersion-Label','Não existe versão atual',getdate(),getdate(),2)</v>
      </c>
    </row>
    <row r="184" spans="1:6">
      <c r="A184">
        <v>2184</v>
      </c>
      <c r="B184" s="2">
        <v>2</v>
      </c>
      <c r="C184" t="str">
        <f t="shared" si="9"/>
        <v>'2184'</v>
      </c>
      <c r="D184" t="str">
        <f>$N$1 &amp; "RecordTimeLine-Label" &amp; $N$1</f>
        <v>'RecordTimeLine-Label'</v>
      </c>
      <c r="E184" t="str">
        <f>$N$1 &amp; "Linha do Tempo do Registro" &amp; $N$1</f>
        <v>'Linha do Tempo do Registro'</v>
      </c>
      <c r="F184" t="str">
        <f t="shared" si="8"/>
        <v>insert into sysLocalizationText Values(2184,'2184','RecordTimeLine-Label','Linha do Tempo do Registro',getdate(),getdate(),2)</v>
      </c>
    </row>
    <row r="185" spans="1:6">
      <c r="A185">
        <v>2185</v>
      </c>
      <c r="B185" s="2">
        <v>2</v>
      </c>
      <c r="C185" t="str">
        <f t="shared" si="9"/>
        <v>'2185'</v>
      </c>
      <c r="D185" t="str">
        <f>$N$1 &amp; "HasNoTimeLine-Label" &amp; $N$1</f>
        <v>'HasNoTimeLine-Label'</v>
      </c>
      <c r="E185" t="str">
        <f>$N$1 &amp; "Não existe dados da Linha do Tempo" &amp; $N$1</f>
        <v>'Não existe dados da Linha do Tempo'</v>
      </c>
      <c r="F185" t="str">
        <f t="shared" si="8"/>
        <v>insert into sysLocalizationText Values(2185,'2185','HasNoTimeLine-Label','Não existe dados da Linha do Tempo',getdate(),getdate(),2)</v>
      </c>
    </row>
    <row r="186" spans="1:6">
      <c r="A186">
        <v>2186</v>
      </c>
      <c r="B186" s="2">
        <v>2</v>
      </c>
      <c r="C186" t="str">
        <f t="shared" si="9"/>
        <v>'2186'</v>
      </c>
      <c r="D186" t="str">
        <f>$N$1 &amp; "Localization-PageTitle" &amp; $N$1</f>
        <v>'Localization-PageTitle'</v>
      </c>
      <c r="E186" t="str">
        <f>$N$1 &amp; "Textos de Localização" &amp; $N$1</f>
        <v>'Textos de Localização'</v>
      </c>
      <c r="F186" t="str">
        <f t="shared" si="8"/>
        <v>insert into sysLocalizationText Values(2186,'2186','Localization-PageTitle','Textos de Localização',getdate(),getdate(),2)</v>
      </c>
    </row>
    <row r="187" spans="1:6">
      <c r="A187">
        <v>2187</v>
      </c>
      <c r="B187" s="2">
        <v>2</v>
      </c>
      <c r="C187" t="str">
        <f t="shared" si="9"/>
        <v>'2187'</v>
      </c>
      <c r="D187" t="str">
        <f>$N$1 &amp; "SearchByLanguage-Label" &amp; $N$1</f>
        <v>'SearchByLanguage-Label'</v>
      </c>
      <c r="E187" t="str">
        <f>$N$1 &amp; "Por Linguagem" &amp; $N$1</f>
        <v>'Por Linguagem'</v>
      </c>
      <c r="F187" t="str">
        <f t="shared" si="8"/>
        <v>insert into sysLocalizationText Values(2187,'2187','SearchByLanguage-Label','Por Linguagem',getdate(),getdate(),2)</v>
      </c>
    </row>
    <row r="188" spans="1:6">
      <c r="A188">
        <v>2188</v>
      </c>
      <c r="B188" s="2">
        <v>2</v>
      </c>
      <c r="C188" t="str">
        <f t="shared" si="9"/>
        <v>'2188'</v>
      </c>
      <c r="D188" t="str">
        <f>$N$1 &amp; "SearchByLanguage-Description" &amp; $N$1</f>
        <v>'SearchByLanguage-Description'</v>
      </c>
      <c r="E188" t="str">
        <f>$N$1 &amp; "Pesquisar por Linguagem" &amp; $N$1</f>
        <v>'Pesquisar por Linguagem'</v>
      </c>
      <c r="F188" t="str">
        <f t="shared" si="8"/>
        <v>insert into sysLocalizationText Values(2188,'2188','SearchByLanguage-Description','Pesquisar por Linguagem',getdate(),getdate(),2)</v>
      </c>
    </row>
    <row r="189" spans="1:6">
      <c r="A189">
        <v>2189</v>
      </c>
      <c r="B189" s="2">
        <v>2</v>
      </c>
      <c r="C189" t="str">
        <f t="shared" si="9"/>
        <v>'2189'</v>
      </c>
      <c r="D189" t="str">
        <f>$N$1 &amp; "SearchByLocalizationCode-Label" &amp; $N$1</f>
        <v>'SearchByLocalizationCode-Label'</v>
      </c>
      <c r="E189" t="str">
        <f>$N$1 &amp; "Por Código" &amp; $N$1</f>
        <v>'Por Código'</v>
      </c>
      <c r="F189" t="str">
        <f t="shared" si="8"/>
        <v>insert into sysLocalizationText Values(2189,'2189','SearchByLocalizationCode-Label','Por Código',getdate(),getdate(),2)</v>
      </c>
    </row>
    <row r="190" spans="1:6">
      <c r="A190">
        <v>2190</v>
      </c>
      <c r="B190" s="2">
        <v>2</v>
      </c>
      <c r="C190" t="str">
        <f t="shared" si="9"/>
        <v>'2190'</v>
      </c>
      <c r="D190" t="str">
        <f>$N$1 &amp; "SearchByLocalizationCode-Description" &amp; $N$1</f>
        <v>'SearchByLocalizationCode-Description'</v>
      </c>
      <c r="E190" t="str">
        <f>$N$1 &amp; "Pesquisar por Código" &amp; $N$1</f>
        <v>'Pesquisar por Código'</v>
      </c>
      <c r="F190" t="str">
        <f t="shared" si="8"/>
        <v>insert into sysLocalizationText Values(2190,'2190','SearchByLocalizationCode-Description','Pesquisar por Código',getdate(),getdate(),2)</v>
      </c>
    </row>
    <row r="191" spans="1:6">
      <c r="A191">
        <v>2191</v>
      </c>
      <c r="B191" s="2">
        <v>2</v>
      </c>
      <c r="C191" t="str">
        <f t="shared" si="9"/>
        <v>'2191'</v>
      </c>
      <c r="D191" t="str">
        <f>$N$1 &amp; "SearchByLocalizationName-Label" &amp; $N$1</f>
        <v>'SearchByLocalizationName-Label'</v>
      </c>
      <c r="E191" t="str">
        <f>$N$1 &amp; "Por Nome" &amp; $N$1</f>
        <v>'Por Nome'</v>
      </c>
      <c r="F191" t="str">
        <f t="shared" si="8"/>
        <v>insert into sysLocalizationText Values(2191,'2191','SearchByLocalizationName-Label','Por Nome',getdate(),getdate(),2)</v>
      </c>
    </row>
    <row r="192" spans="1:6">
      <c r="A192">
        <v>2192</v>
      </c>
      <c r="B192" s="2">
        <v>2</v>
      </c>
      <c r="C192" t="str">
        <f t="shared" si="9"/>
        <v>'2192'</v>
      </c>
      <c r="D192" t="str">
        <f>$N$1 &amp; "SearchByLocalizationName-Description" &amp; $N$1</f>
        <v>'SearchByLocalizationName-Description'</v>
      </c>
      <c r="E192" t="str">
        <f>$N$1 &amp; "Pesquisar por Nome" &amp; $N$1</f>
        <v>'Pesquisar por Nome'</v>
      </c>
      <c r="F192" t="str">
        <f t="shared" si="8"/>
        <v>insert into sysLocalizationText Values(2192,'2192','SearchByLocalizationName-Description','Pesquisar por Nome',getdate(),getdate(),2)</v>
      </c>
    </row>
    <row r="193" spans="1:6">
      <c r="A193">
        <v>2193</v>
      </c>
      <c r="B193" s="2">
        <v>2</v>
      </c>
      <c r="C193" t="str">
        <f t="shared" si="9"/>
        <v>'2193'</v>
      </c>
      <c r="D193" t="str">
        <f>$N$1 &amp; "SearchByLocalizationText-Label" &amp; $N$1</f>
        <v>'SearchByLocalizationText-Label'</v>
      </c>
      <c r="E193" t="str">
        <f>$N$1 &amp; "Por Texto" &amp; $N$1</f>
        <v>'Por Texto'</v>
      </c>
      <c r="F193" t="str">
        <f t="shared" si="8"/>
        <v>insert into sysLocalizationText Values(2193,'2193','SearchByLocalizationText-Label','Por Texto',getdate(),getdate(),2)</v>
      </c>
    </row>
    <row r="194" spans="1:6">
      <c r="A194">
        <v>2194</v>
      </c>
      <c r="B194" s="2">
        <v>2</v>
      </c>
      <c r="C194" t="str">
        <f t="shared" si="9"/>
        <v>'2194'</v>
      </c>
      <c r="D194" t="str">
        <f>$N$1 &amp; "SearchByLocalizationText-Description" &amp; $N$1</f>
        <v>'SearchByLocalizationText-Description'</v>
      </c>
      <c r="E194" t="str">
        <f>$N$1 &amp; "Pesquisar por Texto" &amp; $N$1</f>
        <v>'Pesquisar por Texto'</v>
      </c>
      <c r="F194" t="str">
        <f t="shared" ref="F194:F257" si="10">"insert into sysLocalizationText Values(" &amp;A194 &amp; "," &amp;C194 &amp; "," &amp; D194 &amp; "," &amp; E194 &amp; ",getdate(),getdate()," &amp; B194 &amp; ")"</f>
        <v>insert into sysLocalizationText Values(2194,'2194','SearchByLocalizationText-Description','Pesquisar por Texto',getdate(),getdate(),2)</v>
      </c>
    </row>
    <row r="195" spans="1:6">
      <c r="A195">
        <v>2195</v>
      </c>
      <c r="B195" s="2">
        <v>2</v>
      </c>
      <c r="C195" t="str">
        <f t="shared" si="9"/>
        <v>'2195'</v>
      </c>
      <c r="D195" t="str">
        <f>$N$1 &amp; "Language-Label" &amp; $N$1</f>
        <v>'Language-Label'</v>
      </c>
      <c r="E195" t="str">
        <f>$N$1 &amp; "Linguagem" &amp; $N$1</f>
        <v>'Linguagem'</v>
      </c>
      <c r="F195" t="str">
        <f t="shared" si="10"/>
        <v>insert into sysLocalizationText Values(2195,'2195','Language-Label','Linguagem',getdate(),getdate(),2)</v>
      </c>
    </row>
    <row r="196" spans="1:6">
      <c r="A196">
        <v>2196</v>
      </c>
      <c r="B196" s="2">
        <v>2</v>
      </c>
      <c r="C196" t="str">
        <f t="shared" si="9"/>
        <v>'2196'</v>
      </c>
      <c r="D196" t="str">
        <f>$N$1 &amp; "LocalizationCode-Label" &amp; $N$1</f>
        <v>'LocalizationCode-Label'</v>
      </c>
      <c r="E196" t="str">
        <f>$N$1 &amp; "Código" &amp; $N$1</f>
        <v>'Código'</v>
      </c>
      <c r="F196" t="str">
        <f t="shared" si="10"/>
        <v>insert into sysLocalizationText Values(2196,'2196','LocalizationCode-Label','Código',getdate(),getdate(),2)</v>
      </c>
    </row>
    <row r="197" spans="1:6">
      <c r="A197">
        <v>2197</v>
      </c>
      <c r="B197" s="2">
        <v>2</v>
      </c>
      <c r="C197" t="str">
        <f t="shared" si="9"/>
        <v>'2197'</v>
      </c>
      <c r="D197" t="str">
        <f>$N$1 &amp; "LocalizationName-Label" &amp; $N$1</f>
        <v>'LocalizationName-Label'</v>
      </c>
      <c r="E197" t="str">
        <f>$N$1 &amp; "Nome" &amp; $N$1</f>
        <v>'Nome'</v>
      </c>
      <c r="F197" t="str">
        <f t="shared" si="10"/>
        <v>insert into sysLocalizationText Values(2197,'2197','LocalizationName-Label','Nome',getdate(),getdate(),2)</v>
      </c>
    </row>
    <row r="198" spans="1:6">
      <c r="A198">
        <v>2198</v>
      </c>
      <c r="B198" s="2">
        <v>2</v>
      </c>
      <c r="C198" t="str">
        <f t="shared" si="9"/>
        <v>'2198'</v>
      </c>
      <c r="D198" t="str">
        <f>$N$1 &amp; "LocalizationRecord-Label" &amp; $N$1</f>
        <v>'LocalizationRecord-Label'</v>
      </c>
      <c r="E198" t="str">
        <f>$N$1 &amp; "Dados do Texto de Localização" &amp; $N$1</f>
        <v>'Dados do Texto de Localização'</v>
      </c>
      <c r="F198" t="str">
        <f t="shared" si="10"/>
        <v>insert into sysLocalizationText Values(2198,'2198','LocalizationRecord-Label','Dados do Texto de Localização',getdate(),getdate(),2)</v>
      </c>
    </row>
    <row r="199" spans="1:6">
      <c r="A199">
        <v>2199</v>
      </c>
      <c r="B199" s="2">
        <v>2</v>
      </c>
      <c r="C199" t="str">
        <f t="shared" si="9"/>
        <v>'2199'</v>
      </c>
      <c r="D199" t="str">
        <f>$N$1 &amp; "LocalizationText-Label" &amp; $N$1</f>
        <v>'LocalizationText-Label'</v>
      </c>
      <c r="E199" t="str">
        <f>$N$1 &amp; "Texto " &amp; $N$1</f>
        <v>'Texto '</v>
      </c>
      <c r="F199" t="str">
        <f t="shared" si="10"/>
        <v>insert into sysLocalizationText Values(2199,'2199','LocalizationText-Label','Texto ',getdate(),getdate(),2)</v>
      </c>
    </row>
    <row r="200" spans="1:6">
      <c r="A200">
        <v>2200</v>
      </c>
      <c r="B200" s="2">
        <v>2</v>
      </c>
      <c r="C200" t="str">
        <f t="shared" si="9"/>
        <v>'2200'</v>
      </c>
      <c r="D200" t="str">
        <f>$N$1 &amp; "SaveLocalizationButton-Label" &amp; $N$1</f>
        <v>'SaveLocalizationButton-Label'</v>
      </c>
      <c r="E200" t="str">
        <f>$N$1 &amp; "Salvar Texto de Localização" &amp; $N$1</f>
        <v>'Salvar Texto de Localização'</v>
      </c>
      <c r="F200" t="str">
        <f t="shared" si="10"/>
        <v>insert into sysLocalizationText Values(2200,'2200','SaveLocalizationButton-Label','Salvar Texto de Localização',getdate(),getdate(),2)</v>
      </c>
    </row>
    <row r="201" spans="1:6">
      <c r="A201">
        <v>2201</v>
      </c>
      <c r="B201" s="2">
        <v>2</v>
      </c>
      <c r="C201" t="str">
        <f t="shared" si="9"/>
        <v>'2201'</v>
      </c>
      <c r="D201" t="str">
        <f>$N$1 &amp; "SaveLocalizationButton-Description" &amp; $N$1</f>
        <v>'SaveLocalizationButton-Description'</v>
      </c>
      <c r="E201" t="str">
        <f>$N$1 &amp; "Clique aqui para salvar os dados." &amp; $N$1</f>
        <v>'Clique aqui para salvar os dados.'</v>
      </c>
      <c r="F201" t="str">
        <f t="shared" si="10"/>
        <v>insert into sysLocalizationText Values(2201,'2201','SaveLocalizationButton-Description','Clique aqui para salvar os dados.',getdate(),getdate(),2)</v>
      </c>
    </row>
    <row r="202" spans="1:6">
      <c r="A202">
        <v>2202</v>
      </c>
      <c r="B202" s="2">
        <v>2</v>
      </c>
      <c r="C202" t="str">
        <f t="shared" si="9"/>
        <v>'2202'</v>
      </c>
      <c r="D202" t="str">
        <f>$N$1 &amp; "NewLocalization-Label" &amp; $N$1</f>
        <v>'NewLocalization-Label'</v>
      </c>
      <c r="E202" t="str">
        <f>$N$1 &amp; "Novo Texto de Localização" &amp; $N$1</f>
        <v>'Novo Texto de Localização'</v>
      </c>
      <c r="F202" t="str">
        <f t="shared" si="10"/>
        <v>insert into sysLocalizationText Values(2202,'2202','NewLocalization-Label','Novo Texto de Localização',getdate(),getdate(),2)</v>
      </c>
    </row>
    <row r="203" spans="1:6">
      <c r="A203">
        <v>2203</v>
      </c>
      <c r="B203" s="2">
        <v>2</v>
      </c>
      <c r="C203" t="str">
        <f t="shared" si="9"/>
        <v>'2203'</v>
      </c>
      <c r="D203" t="str">
        <f>$N$1 &amp; "ObjectPermission-PageTitle" &amp; $N$1</f>
        <v>'ObjectPermission-PageTitle'</v>
      </c>
      <c r="E203" t="str">
        <f>$N$1 &amp; "Objeto de Permissão" &amp; $N$1</f>
        <v>'Objeto de Permissão'</v>
      </c>
      <c r="F203" t="str">
        <f t="shared" si="10"/>
        <v>insert into sysLocalizationText Values(2203,'2203','ObjectPermission-PageTitle','Objeto de Permissão',getdate(),getdate(),2)</v>
      </c>
    </row>
    <row r="204" spans="1:6">
      <c r="A204">
        <v>2204</v>
      </c>
      <c r="B204" s="2">
        <v>2</v>
      </c>
      <c r="C204" t="str">
        <f t="shared" si="9"/>
        <v>'2204'</v>
      </c>
      <c r="D204" t="str">
        <f>$N$1 &amp; "SearchByObjectName-Label" &amp; $N$1</f>
        <v>'SearchByObjectName-Label'</v>
      </c>
      <c r="E204" t="str">
        <f>$N$1 &amp; "Por Nome" &amp; $N$1</f>
        <v>'Por Nome'</v>
      </c>
      <c r="F204" t="str">
        <f t="shared" si="10"/>
        <v>insert into sysLocalizationText Values(2204,'2204','SearchByObjectName-Label','Por Nome',getdate(),getdate(),2)</v>
      </c>
    </row>
    <row r="205" spans="1:6">
      <c r="A205">
        <v>2205</v>
      </c>
      <c r="B205" s="2">
        <v>2</v>
      </c>
      <c r="C205" t="str">
        <f t="shared" si="9"/>
        <v>'2205'</v>
      </c>
      <c r="D205" t="str">
        <f>$N$1 &amp; "SearchByObjectName-Description" &amp; $N$1</f>
        <v>'SearchByObjectName-Description'</v>
      </c>
      <c r="E205" t="str">
        <f>$N$1 &amp; "Pesquisar por Nome" &amp; $N$1</f>
        <v>'Pesquisar por Nome'</v>
      </c>
      <c r="F205" t="str">
        <f t="shared" si="10"/>
        <v>insert into sysLocalizationText Values(2205,'2205','SearchByObjectName-Description','Pesquisar por Nome',getdate(),getdate(),2)</v>
      </c>
    </row>
    <row r="206" spans="1:6">
      <c r="A206">
        <v>2206</v>
      </c>
      <c r="B206" s="2">
        <v>2</v>
      </c>
      <c r="C206" t="str">
        <f t="shared" si="9"/>
        <v>'2206'</v>
      </c>
      <c r="D206" t="str">
        <f>$N$1 &amp; "SearchByObjectCode-Label" &amp; $N$1</f>
        <v>'SearchByObjectCode-Label'</v>
      </c>
      <c r="E206" t="str">
        <f>$N$1 &amp; "Por Código" &amp; $N$1</f>
        <v>'Por Código'</v>
      </c>
      <c r="F206" t="str">
        <f t="shared" si="10"/>
        <v>insert into sysLocalizationText Values(2206,'2206','SearchByObjectCode-Label','Por Código',getdate(),getdate(),2)</v>
      </c>
    </row>
    <row r="207" spans="1:6">
      <c r="A207">
        <v>2207</v>
      </c>
      <c r="B207" s="2">
        <v>2</v>
      </c>
      <c r="C207" t="str">
        <f t="shared" si="9"/>
        <v>'2207'</v>
      </c>
      <c r="D207" t="str">
        <f>$N$1 &amp; "SearchByObjectCode-Description" &amp; $N$1</f>
        <v>'SearchByObjectCode-Description'</v>
      </c>
      <c r="E207" t="str">
        <f>$N$1 &amp; "Pesquisar por Código" &amp; $N$1</f>
        <v>'Pesquisar por Código'</v>
      </c>
      <c r="F207" t="str">
        <f t="shared" si="10"/>
        <v>insert into sysLocalizationText Values(2207,'2207','SearchByObjectCode-Description','Pesquisar por Código',getdate(),getdate(),2)</v>
      </c>
    </row>
    <row r="208" spans="1:6">
      <c r="A208">
        <v>2208</v>
      </c>
      <c r="B208" s="2">
        <v>2</v>
      </c>
      <c r="C208" t="str">
        <f t="shared" si="9"/>
        <v>'2208'</v>
      </c>
      <c r="D208" t="str">
        <f>$N$1 &amp; "NewObject-Label" &amp; $N$1</f>
        <v>'NewObject-Label'</v>
      </c>
      <c r="E208" t="str">
        <f>$N$1 &amp; "Novo Objeto de Permissão" &amp; $N$1</f>
        <v>'Novo Objeto de Permissão'</v>
      </c>
      <c r="F208" t="str">
        <f t="shared" si="10"/>
        <v>insert into sysLocalizationText Values(2208,'2208','NewObject-Label','Novo Objeto de Permissão',getdate(),getdate(),2)</v>
      </c>
    </row>
    <row r="209" spans="1:6">
      <c r="A209">
        <v>2209</v>
      </c>
      <c r="B209" s="2">
        <v>2</v>
      </c>
      <c r="C209" t="str">
        <f t="shared" si="9"/>
        <v>'2209'</v>
      </c>
      <c r="D209" t="str">
        <f>$N$1 &amp; "ObjectName-Label" &amp; $N$1</f>
        <v>'ObjectName-Label'</v>
      </c>
      <c r="E209" t="str">
        <f>$N$1 &amp; "Nome" &amp; $N$1</f>
        <v>'Nome'</v>
      </c>
      <c r="F209" t="str">
        <f t="shared" si="10"/>
        <v>insert into sysLocalizationText Values(2209,'2209','ObjectName-Label','Nome',getdate(),getdate(),2)</v>
      </c>
    </row>
    <row r="210" spans="1:6">
      <c r="A210">
        <v>2210</v>
      </c>
      <c r="B210" s="2">
        <v>2</v>
      </c>
      <c r="C210" t="str">
        <f t="shared" si="9"/>
        <v>'2210'</v>
      </c>
      <c r="D210" t="str">
        <f>$N$1 &amp; "ObjectCode-Label" &amp; $N$1</f>
        <v>'ObjectCode-Label'</v>
      </c>
      <c r="E210" t="str">
        <f>$N$1 &amp; "Código" &amp; $N$1</f>
        <v>'Código'</v>
      </c>
      <c r="F210" t="str">
        <f t="shared" si="10"/>
        <v>insert into sysLocalizationText Values(2210,'2210','ObjectCode-Label','Código',getdate(),getdate(),2)</v>
      </c>
    </row>
    <row r="211" spans="1:6">
      <c r="A211">
        <v>2211</v>
      </c>
      <c r="B211" s="2">
        <v>2</v>
      </c>
      <c r="C211" t="str">
        <f t="shared" si="9"/>
        <v>'2211'</v>
      </c>
      <c r="D211" t="str">
        <f>$N$1 &amp; "ObjectPermissionRecord-Label" &amp; $N$1</f>
        <v>'ObjectPermissionRecord-Label'</v>
      </c>
      <c r="E211" t="str">
        <f>$N$1 &amp; "Dados do Objeto de Permissão" &amp; $N$1</f>
        <v>'Dados do Objeto de Permissão'</v>
      </c>
      <c r="F211" t="str">
        <f t="shared" si="10"/>
        <v>insert into sysLocalizationText Values(2211,'2211','ObjectPermissionRecord-Label','Dados do Objeto de Permissão',getdate(),getdate(),2)</v>
      </c>
    </row>
    <row r="212" spans="1:6">
      <c r="A212">
        <v>2212</v>
      </c>
      <c r="B212" s="2">
        <v>2</v>
      </c>
      <c r="C212" t="str">
        <f t="shared" si="9"/>
        <v>'2212'</v>
      </c>
      <c r="D212" t="str">
        <f>$N$1 &amp; "SaveObjectPermissionButton-Label" &amp; $N$1</f>
        <v>'SaveObjectPermissionButton-Label'</v>
      </c>
      <c r="E212" t="str">
        <f>$N$1 &amp; "Salvar Objeto de Permissão" &amp; $N$1</f>
        <v>'Salvar Objeto de Permissão'</v>
      </c>
      <c r="F212" t="str">
        <f t="shared" si="10"/>
        <v>insert into sysLocalizationText Values(2212,'2212','SaveObjectPermissionButton-Label','Salvar Objeto de Permissão',getdate(),getdate(),2)</v>
      </c>
    </row>
    <row r="213" spans="1:6">
      <c r="A213">
        <v>2213</v>
      </c>
      <c r="B213" s="2">
        <v>2</v>
      </c>
      <c r="C213" t="str">
        <f t="shared" si="9"/>
        <v>'2213'</v>
      </c>
      <c r="D213" t="str">
        <f>$N$1 &amp; "SaveObjectPermissionButton-Description" &amp; $N$1</f>
        <v>'SaveObjectPermissionButton-Description'</v>
      </c>
      <c r="E213" t="str">
        <f>$N$1 &amp; "Clique aqui para salvar o Objeto de Permissão" &amp; $N$1</f>
        <v>'Clique aqui para salvar o Objeto de Permissão'</v>
      </c>
      <c r="F213" t="str">
        <f t="shared" si="10"/>
        <v>insert into sysLocalizationText Values(2213,'2213','SaveObjectPermissionButton-Description','Clique aqui para salvar o Objeto de Permissão',getdate(),getdate(),2)</v>
      </c>
    </row>
    <row r="214" spans="1:6">
      <c r="A214">
        <v>2214</v>
      </c>
      <c r="B214" s="2">
        <v>2</v>
      </c>
      <c r="C214" t="str">
        <f t="shared" si="9"/>
        <v>'2214'</v>
      </c>
      <c r="D214" t="str">
        <f>$N$1 &amp; "Permission-PageTitle" &amp; $N$1</f>
        <v>'Permission-PageTitle'</v>
      </c>
      <c r="E214" t="str">
        <f>$N$1 &amp; "Permissões" &amp; $N$1</f>
        <v>'Permissões'</v>
      </c>
      <c r="F214" t="str">
        <f t="shared" si="10"/>
        <v>insert into sysLocalizationText Values(2214,'2214','Permission-PageTitle','Permissões',getdate(),getdate(),2)</v>
      </c>
    </row>
    <row r="215" spans="1:6">
      <c r="A215">
        <v>2215</v>
      </c>
      <c r="B215" s="2">
        <v>2</v>
      </c>
      <c r="C215" t="str">
        <f t="shared" si="9"/>
        <v>'2215'</v>
      </c>
      <c r="D215" t="str">
        <f>$N$1 &amp; "SearchByObjectPermission-Label" &amp; $N$1</f>
        <v>'SearchByObjectPermission-Label'</v>
      </c>
      <c r="E215" t="str">
        <f>$N$1 &amp; "Por Objeto de Permissão" &amp; $N$1</f>
        <v>'Por Objeto de Permissão'</v>
      </c>
      <c r="F215" t="str">
        <f t="shared" si="10"/>
        <v>insert into sysLocalizationText Values(2215,'2215','SearchByObjectPermission-Label','Por Objeto de Permissão',getdate(),getdate(),2)</v>
      </c>
    </row>
    <row r="216" spans="1:6">
      <c r="A216">
        <v>2216</v>
      </c>
      <c r="B216" s="2">
        <v>2</v>
      </c>
      <c r="C216" t="str">
        <f t="shared" si="9"/>
        <v>'2216'</v>
      </c>
      <c r="D216" t="str">
        <f>$N$1 &amp; "SearchByRole-Label" &amp; $N$1</f>
        <v>'SearchByRole-Label'</v>
      </c>
      <c r="E216" t="str">
        <f>$N$1 &amp; "Por Perfil" &amp; $N$1</f>
        <v>'Por Perfil'</v>
      </c>
      <c r="F216" t="str">
        <f t="shared" si="10"/>
        <v>insert into sysLocalizationText Values(2216,'2216','SearchByRole-Label','Por Perfil',getdate(),getdate(),2)</v>
      </c>
    </row>
    <row r="217" spans="1:6">
      <c r="A217">
        <v>2217</v>
      </c>
      <c r="B217" s="2">
        <v>2</v>
      </c>
      <c r="C217" t="str">
        <f t="shared" si="9"/>
        <v>'2217'</v>
      </c>
      <c r="D217" t="str">
        <f>$N$1 &amp; "SearchByUser-Label" &amp; $N$1</f>
        <v>'SearchByUser-Label'</v>
      </c>
      <c r="E217" t="str">
        <f>$N$1 &amp; "Por Usuário" &amp; $N$1</f>
        <v>'Por Usuário'</v>
      </c>
      <c r="F217" t="str">
        <f t="shared" si="10"/>
        <v>insert into sysLocalizationText Values(2217,'2217','SearchByUser-Label','Por Usuário',getdate(),getdate(),2)</v>
      </c>
    </row>
    <row r="218" spans="1:6">
      <c r="A218">
        <v>2218</v>
      </c>
      <c r="B218" s="2">
        <v>2</v>
      </c>
      <c r="C218" t="str">
        <f t="shared" si="9"/>
        <v>'2218'</v>
      </c>
      <c r="D218" t="str">
        <f>$N$1 &amp; "NewPermission-Label" &amp; $N$1</f>
        <v>'NewPermission-Label'</v>
      </c>
      <c r="E218" t="str">
        <f>$N$1 &amp; "Nova Permissão" &amp; $N$1</f>
        <v>'Nova Permissão'</v>
      </c>
      <c r="F218" t="str">
        <f t="shared" si="10"/>
        <v>insert into sysLocalizationText Values(2218,'2218','NewPermission-Label','Nova Permissão',getdate(),getdate(),2)</v>
      </c>
    </row>
    <row r="219" spans="1:6">
      <c r="A219">
        <v>2219</v>
      </c>
      <c r="B219" s="2">
        <v>2</v>
      </c>
      <c r="C219" t="str">
        <f t="shared" si="9"/>
        <v>'2219'</v>
      </c>
      <c r="D219" t="str">
        <f>$N$1 &amp; "NewPermission-Description" &amp; $N$1</f>
        <v>'NewPermission-Description'</v>
      </c>
      <c r="E219" t="str">
        <f>$N$1 &amp; "Clique aqui para inserir uma nova Permissão" &amp; $N$1</f>
        <v>'Clique aqui para inserir uma nova Permissão'</v>
      </c>
      <c r="F219" t="str">
        <f t="shared" si="10"/>
        <v>insert into sysLocalizationText Values(2219,'2219','NewPermission-Description','Clique aqui para inserir uma nova Permissão',getdate(),getdate(),2)</v>
      </c>
    </row>
    <row r="220" spans="1:6">
      <c r="A220">
        <v>2220</v>
      </c>
      <c r="B220" s="2">
        <v>2</v>
      </c>
      <c r="C220" t="str">
        <f t="shared" si="9"/>
        <v>'2220'</v>
      </c>
      <c r="D220" t="str">
        <f>$N$1 &amp; "ObjectName-Label" &amp; $N$1</f>
        <v>'ObjectName-Label'</v>
      </c>
      <c r="E220" t="str">
        <f>$N$1 &amp; "Objeto de Permissão" &amp; $N$1</f>
        <v>'Objeto de Permissão'</v>
      </c>
      <c r="F220" t="str">
        <f t="shared" si="10"/>
        <v>insert into sysLocalizationText Values(2220,'2220','ObjectName-Label','Objeto de Permissão',getdate(),getdate(),2)</v>
      </c>
    </row>
    <row r="221" spans="1:6">
      <c r="A221">
        <v>2221</v>
      </c>
      <c r="B221" s="2">
        <v>2</v>
      </c>
      <c r="C221" t="str">
        <f t="shared" si="9"/>
        <v>'2221'</v>
      </c>
      <c r="D221" t="str">
        <f>$N$1 &amp; "RoleName-Label" &amp; $N$1</f>
        <v>'RoleName-Label'</v>
      </c>
      <c r="E221" t="str">
        <f>$N$1 &amp; "Perfil" &amp; $N$1</f>
        <v>'Perfil'</v>
      </c>
      <c r="F221" t="str">
        <f t="shared" si="10"/>
        <v>insert into sysLocalizationText Values(2221,'2221','RoleName-Label','Perfil',getdate(),getdate(),2)</v>
      </c>
    </row>
    <row r="222" spans="1:6">
      <c r="A222">
        <v>2222</v>
      </c>
      <c r="B222" s="2">
        <v>2</v>
      </c>
      <c r="C222" t="str">
        <f t="shared" si="9"/>
        <v>'2222'</v>
      </c>
      <c r="D222" t="str">
        <f>$N$1 &amp; "PermissionRecord-Label" &amp; $N$1</f>
        <v>'PermissionRecord-Label'</v>
      </c>
      <c r="E222" t="str">
        <f>$N$1 &amp; "Dados da Permissão" &amp; $N$1</f>
        <v>'Dados da Permissão'</v>
      </c>
      <c r="F222" t="str">
        <f t="shared" si="10"/>
        <v>insert into sysLocalizationText Values(2222,'2222','PermissionRecord-Label','Dados da Permissão',getdate(),getdate(),2)</v>
      </c>
    </row>
    <row r="223" spans="1:6">
      <c r="A223">
        <v>2223</v>
      </c>
      <c r="B223" s="2">
        <v>2</v>
      </c>
      <c r="C223" t="str">
        <f t="shared" si="9"/>
        <v>'2223'</v>
      </c>
      <c r="D223" t="str">
        <f>$N$1 &amp; "PermissionType-Label" &amp; $N$1</f>
        <v>'PermissionType-Label'</v>
      </c>
      <c r="E223" t="str">
        <f>$N$1 &amp; "Tipo de Permissão" &amp; $N$1</f>
        <v>'Tipo de Permissão'</v>
      </c>
      <c r="F223" t="str">
        <f t="shared" si="10"/>
        <v>insert into sysLocalizationText Values(2223,'2223','PermissionType-Label','Tipo de Permissão',getdate(),getdate(),2)</v>
      </c>
    </row>
    <row r="224" spans="1:6">
      <c r="A224">
        <v>2224</v>
      </c>
      <c r="B224" s="2">
        <v>2</v>
      </c>
      <c r="C224" t="str">
        <f t="shared" si="9"/>
        <v>'2224'</v>
      </c>
      <c r="D224" t="str">
        <f>$N$1 &amp; "ReadStatus-Label" &amp; $N$1</f>
        <v>'ReadStatus-Label'</v>
      </c>
      <c r="E224" t="str">
        <f>$N$1 &amp; "Status de Leitura" &amp; $N$1</f>
        <v>'Status de Leitura'</v>
      </c>
      <c r="F224" t="str">
        <f t="shared" si="10"/>
        <v>insert into sysLocalizationText Values(2224,'2224','ReadStatus-Label','Status de Leitura',getdate(),getdate(),2)</v>
      </c>
    </row>
    <row r="225" spans="1:6">
      <c r="A225">
        <v>2225</v>
      </c>
      <c r="B225" s="2">
        <v>2</v>
      </c>
      <c r="C225" t="str">
        <f t="shared" si="9"/>
        <v>'2225'</v>
      </c>
      <c r="D225" t="str">
        <f>$N$1 &amp; "SaveStatus-Label" &amp; $N$1</f>
        <v>'SaveStatus-Label'</v>
      </c>
      <c r="E225" t="str">
        <f>$N$1 &amp; "Status de Gravação" &amp; $N$1</f>
        <v>'Status de Gravação'</v>
      </c>
      <c r="F225" t="str">
        <f t="shared" si="10"/>
        <v>insert into sysLocalizationText Values(2225,'2225','SaveStatus-Label','Status de Gravação',getdate(),getdate(),2)</v>
      </c>
    </row>
    <row r="226" spans="1:6">
      <c r="A226">
        <v>2226</v>
      </c>
      <c r="B226" s="2">
        <v>2</v>
      </c>
      <c r="C226" t="str">
        <f t="shared" si="9"/>
        <v>'2226'</v>
      </c>
      <c r="D226" t="str">
        <f>$N$1 &amp; "DeleteStatus-Label" &amp; $N$1</f>
        <v>'DeleteStatus-Label'</v>
      </c>
      <c r="E226" t="str">
        <f>$N$1 &amp; "Status de Exclusão" &amp; $N$1</f>
        <v>'Status de Exclusão'</v>
      </c>
      <c r="F226" t="str">
        <f t="shared" si="10"/>
        <v>insert into sysLocalizationText Values(2226,'2226','DeleteStatus-Label','Status de Exclusão',getdate(),getdate(),2)</v>
      </c>
    </row>
    <row r="227" spans="1:6">
      <c r="A227">
        <v>2227</v>
      </c>
      <c r="B227" s="2">
        <v>2</v>
      </c>
      <c r="C227" t="str">
        <f t="shared" si="9"/>
        <v>'2227'</v>
      </c>
      <c r="D227" t="str">
        <f>$N$1 &amp; "SavePermissionButton-Label" &amp; $N$1</f>
        <v>'SavePermissionButton-Label'</v>
      </c>
      <c r="E227" t="str">
        <f>$N$1 &amp; "Salvar Permissão" &amp; $N$1</f>
        <v>'Salvar Permissão'</v>
      </c>
      <c r="F227" t="str">
        <f t="shared" si="10"/>
        <v>insert into sysLocalizationText Values(2227,'2227','SavePermissionButton-Label','Salvar Permissão',getdate(),getdate(),2)</v>
      </c>
    </row>
    <row r="228" spans="1:6">
      <c r="A228">
        <v>2228</v>
      </c>
      <c r="B228" s="2">
        <v>2</v>
      </c>
      <c r="C228" t="str">
        <f t="shared" si="9"/>
        <v>'2228'</v>
      </c>
      <c r="D228" t="str">
        <f>$N$1 &amp; "SavePermissionButton-Description" &amp; $N$1</f>
        <v>'SavePermissionButton-Description'</v>
      </c>
      <c r="E228" t="str">
        <f>$N$1 &amp; "Clique aqui para salvar a Permissão" &amp; $N$1</f>
        <v>'Clique aqui para salvar a Permissão'</v>
      </c>
      <c r="F228" t="str">
        <f t="shared" si="10"/>
        <v>insert into sysLocalizationText Values(2228,'2228','SavePermissionButton-Description','Clique aqui para salvar a Permissão',getdate(),getdate(),2)</v>
      </c>
    </row>
    <row r="229" spans="1:6">
      <c r="A229">
        <v>2229</v>
      </c>
      <c r="B229" s="2">
        <v>2</v>
      </c>
      <c r="C229" t="str">
        <f t="shared" si="9"/>
        <v>'2229'</v>
      </c>
      <c r="D229" t="str">
        <f>$N$1 &amp; "Role-PageTitle" &amp; $N$1</f>
        <v>'Role-PageTitle'</v>
      </c>
      <c r="E229" t="str">
        <f>$N$1 &amp; "Perfil" &amp; $N$1</f>
        <v>'Perfil'</v>
      </c>
      <c r="F229" t="str">
        <f t="shared" si="10"/>
        <v>insert into sysLocalizationText Values(2229,'2229','Role-PageTitle','Perfil',getdate(),getdate(),2)</v>
      </c>
    </row>
    <row r="230" spans="1:6">
      <c r="A230">
        <v>2230</v>
      </c>
      <c r="B230" s="2">
        <v>2</v>
      </c>
      <c r="C230" t="str">
        <f t="shared" si="9"/>
        <v>'2230'</v>
      </c>
      <c r="D230" t="str">
        <f>$N$1 &amp; "SearchByRoleName-Label" &amp; $N$1</f>
        <v>'SearchByRoleName-Label'</v>
      </c>
      <c r="E230" t="str">
        <f>$N$1 &amp; "Por Nome do Perfil" &amp; $N$1</f>
        <v>'Por Nome do Perfil'</v>
      </c>
      <c r="F230" t="str">
        <f t="shared" si="10"/>
        <v>insert into sysLocalizationText Values(2230,'2230','SearchByRoleName-Label','Por Nome do Perfil',getdate(),getdate(),2)</v>
      </c>
    </row>
    <row r="231" spans="1:6">
      <c r="A231">
        <v>2231</v>
      </c>
      <c r="B231" s="2">
        <v>2</v>
      </c>
      <c r="C231" t="str">
        <f t="shared" si="9"/>
        <v>'2231'</v>
      </c>
      <c r="D231" t="str">
        <f>$N$1 &amp; "SearchByRoleName-Description" &amp; $N$1</f>
        <v>'SearchByRoleName-Description'</v>
      </c>
      <c r="E231" t="str">
        <f>$N$1 &amp; "Pesquisar por Nome do Perfil" &amp; $N$1</f>
        <v>'Pesquisar por Nome do Perfil'</v>
      </c>
      <c r="F231" t="str">
        <f t="shared" si="10"/>
        <v>insert into sysLocalizationText Values(2231,'2231','SearchByRoleName-Description','Pesquisar por Nome do Perfil',getdate(),getdate(),2)</v>
      </c>
    </row>
    <row r="232" spans="1:6">
      <c r="A232">
        <v>2232</v>
      </c>
      <c r="B232" s="2">
        <v>2</v>
      </c>
      <c r="C232" t="str">
        <f t="shared" si="9"/>
        <v>'2232'</v>
      </c>
      <c r="D232" t="str">
        <f>$N$1 &amp; "NewRole-Label" &amp; $N$1</f>
        <v>'NewRole-Label'</v>
      </c>
      <c r="E232" t="str">
        <f>$N$1 &amp; "Novo Perfil" &amp; $N$1</f>
        <v>'Novo Perfil'</v>
      </c>
      <c r="F232" t="str">
        <f t="shared" si="10"/>
        <v>insert into sysLocalizationText Values(2232,'2232','NewRole-Label','Novo Perfil',getdate(),getdate(),2)</v>
      </c>
    </row>
    <row r="233" spans="1:6">
      <c r="A233">
        <v>2233</v>
      </c>
      <c r="B233" s="2">
        <v>2</v>
      </c>
      <c r="C233" t="str">
        <f t="shared" si="9"/>
        <v>'2233'</v>
      </c>
      <c r="D233" t="str">
        <f>$N$1 &amp; "NewRole-Description" &amp; $N$1</f>
        <v>'NewRole-Description'</v>
      </c>
      <c r="E233" t="str">
        <f>$N$1 &amp; "Clique aqui para criar um novo Perfil" &amp; $N$1</f>
        <v>'Clique aqui para criar um novo Perfil'</v>
      </c>
      <c r="F233" t="str">
        <f t="shared" si="10"/>
        <v>insert into sysLocalizationText Values(2233,'2233','NewRole-Description','Clique aqui para criar um novo Perfil',getdate(),getdate(),2)</v>
      </c>
    </row>
    <row r="234" spans="1:6">
      <c r="A234">
        <v>2234</v>
      </c>
      <c r="B234" s="2">
        <v>2</v>
      </c>
      <c r="C234" t="str">
        <f t="shared" ref="C234:C255" si="11">"'" &amp; A234 &amp; "'"</f>
        <v>'2234'</v>
      </c>
      <c r="D234" t="str">
        <f>$N$1 &amp; "RoleName-Label" &amp; $N$1</f>
        <v>'RoleName-Label'</v>
      </c>
      <c r="E234" t="str">
        <f>$N$1 &amp; "Nome do Perfil" &amp; $N$1</f>
        <v>'Nome do Perfil'</v>
      </c>
      <c r="F234" t="str">
        <f t="shared" si="10"/>
        <v>insert into sysLocalizationText Values(2234,'2234','RoleName-Label','Nome do Perfil',getdate(),getdate(),2)</v>
      </c>
    </row>
    <row r="235" spans="1:6">
      <c r="A235">
        <v>2235</v>
      </c>
      <c r="B235" s="2">
        <v>2</v>
      </c>
      <c r="C235" t="str">
        <f t="shared" si="11"/>
        <v>'2235'</v>
      </c>
      <c r="D235" t="str">
        <f>$N$1 &amp; "RoleRecord-Label" &amp; $N$1</f>
        <v>'RoleRecord-Label'</v>
      </c>
      <c r="E235" t="str">
        <f>$N$1 &amp; "Dados do Perfil" &amp; $N$1</f>
        <v>'Dados do Perfil'</v>
      </c>
      <c r="F235" t="str">
        <f t="shared" si="10"/>
        <v>insert into sysLocalizationText Values(2235,'2235','RoleRecord-Label','Dados do Perfil',getdate(),getdate(),2)</v>
      </c>
    </row>
    <row r="236" spans="1:6">
      <c r="A236">
        <v>2236</v>
      </c>
      <c r="B236" s="2">
        <v>2</v>
      </c>
      <c r="C236" t="str">
        <f t="shared" si="11"/>
        <v>'2236'</v>
      </c>
      <c r="D236" t="str">
        <f>$N$1 &amp; "SaveRoleButton-Label" &amp; $N$1</f>
        <v>'SaveRoleButton-Label'</v>
      </c>
      <c r="E236" t="str">
        <f>$N$1 &amp; "Salvar Perfil" &amp; $N$1</f>
        <v>'Salvar Perfil'</v>
      </c>
      <c r="F236" t="str">
        <f t="shared" si="10"/>
        <v>insert into sysLocalizationText Values(2236,'2236','SaveRoleButton-Label','Salvar Perfil',getdate(),getdate(),2)</v>
      </c>
    </row>
    <row r="237" spans="1:6">
      <c r="A237">
        <v>2237</v>
      </c>
      <c r="B237" s="2">
        <v>2</v>
      </c>
      <c r="C237" t="str">
        <f t="shared" si="11"/>
        <v>'2237'</v>
      </c>
      <c r="D237" t="str">
        <f>$N$1 &amp; "SaveRoleButton-Description" &amp; $N$1</f>
        <v>'SaveRoleButton-Description'</v>
      </c>
      <c r="E237" t="str">
        <f>$N$1 &amp; "Clique aqui para salvar o Perfil" &amp; $N$1</f>
        <v>'Clique aqui para salvar o Perfil'</v>
      </c>
      <c r="F237" t="str">
        <f t="shared" si="10"/>
        <v>insert into sysLocalizationText Values(2237,'2237','SaveRoleButton-Description','Clique aqui para salvar o Perfil',getdate(),getdate(),2)</v>
      </c>
    </row>
    <row r="238" spans="1:6">
      <c r="A238">
        <v>2238</v>
      </c>
      <c r="B238" s="2">
        <v>2</v>
      </c>
      <c r="C238" t="str">
        <f t="shared" si="11"/>
        <v>'2238'</v>
      </c>
      <c r="D238" t="str">
        <f>$N$1 &amp; "SessionLog-PageTitle" &amp; $N$1</f>
        <v>'SessionLog-PageTitle'</v>
      </c>
      <c r="E238" t="str">
        <f>$N$1 &amp; "Dados de Sessão" &amp; $N$1</f>
        <v>'Dados de Sessão'</v>
      </c>
      <c r="F238" t="str">
        <f t="shared" si="10"/>
        <v>insert into sysLocalizationText Values(2238,'2238','SessionLog-PageTitle','Dados de Sessão',getdate(),getdate(),2)</v>
      </c>
    </row>
    <row r="239" spans="1:6">
      <c r="A239">
        <v>2239</v>
      </c>
      <c r="B239" s="2">
        <v>2</v>
      </c>
      <c r="C239" t="str">
        <f t="shared" si="11"/>
        <v>'2239'</v>
      </c>
      <c r="D239" t="str">
        <f>$N$1 &amp; "SearchByEmail-Description" &amp; $N$1</f>
        <v>'SearchByEmail-Description'</v>
      </c>
      <c r="E239" t="str">
        <f>$N$1 &amp; "Pesquisar por E-mail" &amp; $N$1</f>
        <v>'Pesquisar por E-mail'</v>
      </c>
      <c r="F239" t="str">
        <f t="shared" si="10"/>
        <v>insert into sysLocalizationText Values(2239,'2239','SearchByEmail-Description','Pesquisar por E-mail',getdate(),getdate(),2)</v>
      </c>
    </row>
    <row r="240" spans="1:6">
      <c r="A240">
        <v>2240</v>
      </c>
      <c r="B240" s="2">
        <v>2</v>
      </c>
      <c r="C240" t="str">
        <f t="shared" si="11"/>
        <v>'2240'</v>
      </c>
      <c r="D240" t="str">
        <f>$N$1 &amp; "SearchByDateInterval-Label" &amp; $N$1</f>
        <v>'SearchByDateInterval-Label'</v>
      </c>
      <c r="E240" t="str">
        <f>$N$1 &amp; "Por Intervalo de Dados" &amp; $N$1</f>
        <v>'Por Intervalo de Dados'</v>
      </c>
      <c r="F240" t="str">
        <f t="shared" si="10"/>
        <v>insert into sysLocalizationText Values(2240,'2240','SearchByDateInterval-Label','Por Intervalo de Dados',getdate(),getdate(),2)</v>
      </c>
    </row>
    <row r="241" spans="1:6">
      <c r="A241">
        <v>2241</v>
      </c>
      <c r="B241" s="2">
        <v>2</v>
      </c>
      <c r="C241" t="str">
        <f t="shared" si="11"/>
        <v>'2241'</v>
      </c>
      <c r="D241" t="str">
        <f>$N$1 &amp; "SearchByInicialDate-Label" &amp; $N$1</f>
        <v>'SearchByInicialDate-Label'</v>
      </c>
      <c r="E241" t="str">
        <f>$N$1 &amp; "Data Inicial" &amp; $N$1</f>
        <v>'Data Inicial'</v>
      </c>
      <c r="F241" t="str">
        <f t="shared" si="10"/>
        <v>insert into sysLocalizationText Values(2241,'2241','SearchByInicialDate-Label','Data Inicial',getdate(),getdate(),2)</v>
      </c>
    </row>
    <row r="242" spans="1:6">
      <c r="A242">
        <v>2242</v>
      </c>
      <c r="B242" s="2">
        <v>2</v>
      </c>
      <c r="C242" t="str">
        <f t="shared" si="11"/>
        <v>'2242'</v>
      </c>
      <c r="D242" t="str">
        <f>$N$1 &amp; "SearchByFinalDate-Label" &amp; $N$1</f>
        <v>'SearchByFinalDate-Label'</v>
      </c>
      <c r="E242" t="str">
        <f>$N$1 &amp; "Data Final" &amp; $N$1</f>
        <v>'Data Final'</v>
      </c>
      <c r="F242" t="str">
        <f t="shared" si="10"/>
        <v>insert into sysLocalizationText Values(2242,'2242','SearchByFinalDate-Label','Data Final',getdate(),getdate(),2)</v>
      </c>
    </row>
    <row r="243" spans="1:6">
      <c r="A243">
        <v>2243</v>
      </c>
      <c r="B243" s="2">
        <v>2</v>
      </c>
      <c r="C243" t="str">
        <f t="shared" si="11"/>
        <v>'2243'</v>
      </c>
      <c r="D243" t="str">
        <f>$N$1 &amp; "AccessDate-Label" &amp; $N$1</f>
        <v>'AccessDate-Label'</v>
      </c>
      <c r="E243" t="str">
        <f>$N$1 &amp; "Data de Acesso" &amp; $N$1</f>
        <v>'Data de Acesso'</v>
      </c>
      <c r="F243" t="str">
        <f t="shared" si="10"/>
        <v>insert into sysLocalizationText Values(2243,'2243','AccessDate-Label','Data de Acesso',getdate(),getdate(),2)</v>
      </c>
    </row>
    <row r="244" spans="1:6">
      <c r="A244">
        <v>2244</v>
      </c>
      <c r="B244" s="2">
        <v>2</v>
      </c>
      <c r="C244" t="str">
        <f t="shared" si="11"/>
        <v>'2244'</v>
      </c>
      <c r="D244" t="str">
        <f>$N$1 &amp; "IP-Label" &amp; $N$1</f>
        <v>'IP-Label'</v>
      </c>
      <c r="E244" t="str">
        <f>$N$1 &amp; "IP" &amp; $N$1</f>
        <v>'IP'</v>
      </c>
      <c r="F244" t="str">
        <f t="shared" si="10"/>
        <v>insert into sysLocalizationText Values(2244,'2244','IP-Label','IP',getdate(),getdate(),2)</v>
      </c>
    </row>
    <row r="245" spans="1:6">
      <c r="A245">
        <v>2245</v>
      </c>
      <c r="B245" s="2">
        <v>2</v>
      </c>
      <c r="C245" t="str">
        <f t="shared" si="11"/>
        <v>'2245'</v>
      </c>
      <c r="D245" t="str">
        <f>$N$1 &amp; "SuperAdmin-MenuText" &amp; $N$1</f>
        <v>'SuperAdmin-MenuText'</v>
      </c>
      <c r="E245" t="str">
        <f>$N$1 &amp; "Super Admin" &amp; $N$1</f>
        <v>'Super Admin'</v>
      </c>
      <c r="F245" t="str">
        <f t="shared" si="10"/>
        <v>insert into sysLocalizationText Values(2245,'2245','SuperAdmin-MenuText','Super Admin',getdate(),getdate(),2)</v>
      </c>
    </row>
    <row r="246" spans="1:6">
      <c r="A246">
        <v>2246</v>
      </c>
      <c r="B246" s="2">
        <v>2</v>
      </c>
      <c r="C246" t="str">
        <f t="shared" si="11"/>
        <v>'2246'</v>
      </c>
      <c r="D246" t="str">
        <f>$N$1 &amp; "BasicsData-MenuText" &amp; $N$1</f>
        <v>'BasicsData-MenuText'</v>
      </c>
      <c r="E246" t="str">
        <f>$N$1 &amp; "Gerenciamento" &amp; $N$1</f>
        <v>'Gerenciamento'</v>
      </c>
      <c r="F246" t="str">
        <f t="shared" si="10"/>
        <v>insert into sysLocalizationText Values(2246,'2246','BasicsData-MenuText','Gerenciamento',getdate(),getdate(),2)</v>
      </c>
    </row>
    <row r="247" spans="1:6">
      <c r="A247">
        <v>2247</v>
      </c>
      <c r="B247" s="2">
        <v>2</v>
      </c>
      <c r="C247" t="str">
        <f t="shared" si="11"/>
        <v>'2247'</v>
      </c>
      <c r="D247" t="str">
        <f>$N$1 &amp; "Monitoring-MenuText" &amp; $N$1</f>
        <v>'Monitoring-MenuText'</v>
      </c>
      <c r="E247" t="str">
        <f>$N$1 &amp; "Monitoramento" &amp; $N$1</f>
        <v>'Monitoramento'</v>
      </c>
      <c r="F247" t="str">
        <f t="shared" si="10"/>
        <v>insert into sysLocalizationText Values(2247,'2247','Monitoring-MenuText','Monitoramento',getdate(),getdate(),2)</v>
      </c>
    </row>
    <row r="248" spans="1:6">
      <c r="A248">
        <v>2248</v>
      </c>
      <c r="B248" s="2">
        <v>2</v>
      </c>
      <c r="C248" t="str">
        <f t="shared" si="11"/>
        <v>'2248'</v>
      </c>
      <c r="D248" t="str">
        <f>$N$1 &amp; "Instance-MenuText" &amp; $N$1</f>
        <v>'Instance-MenuText'</v>
      </c>
      <c r="E248" t="str">
        <f>$N$1 &amp; "Instâncias" &amp; $N$1</f>
        <v>'Instâncias'</v>
      </c>
      <c r="F248" t="str">
        <f t="shared" si="10"/>
        <v>insert into sysLocalizationText Values(2248,'2248','Instance-MenuText','Instâncias',getdate(),getdate(),2)</v>
      </c>
    </row>
    <row r="249" spans="1:6">
      <c r="A249">
        <v>2249</v>
      </c>
      <c r="B249" s="2">
        <v>2</v>
      </c>
      <c r="C249" t="str">
        <f t="shared" si="11"/>
        <v>'2249'</v>
      </c>
      <c r="D249" t="str">
        <f>$N$1 &amp; "Role-MenuText" &amp; $N$1</f>
        <v>'Role-MenuText'</v>
      </c>
      <c r="E249" t="str">
        <f>$N$1 &amp; "Perfils" &amp; $N$1</f>
        <v>'Perfils'</v>
      </c>
      <c r="F249" t="str">
        <f t="shared" si="10"/>
        <v>insert into sysLocalizationText Values(2249,'2249','Role-MenuText','Perfils',getdate(),getdate(),2)</v>
      </c>
    </row>
    <row r="250" spans="1:6">
      <c r="A250">
        <v>2250</v>
      </c>
      <c r="B250" s="2">
        <v>2</v>
      </c>
      <c r="C250" t="str">
        <f t="shared" si="11"/>
        <v>'2250'</v>
      </c>
      <c r="D250" t="str">
        <f>$N$1 &amp; "Users-MenuText" &amp; $N$1</f>
        <v>'Users-MenuText'</v>
      </c>
      <c r="E250" t="str">
        <f>$N$1 &amp; "Usuários" &amp; $N$1</f>
        <v>'Usuários'</v>
      </c>
      <c r="F250" t="str">
        <f t="shared" si="10"/>
        <v>insert into sysLocalizationText Values(2250,'2250','Users-MenuText','Usuários',getdate(),getdate(),2)</v>
      </c>
    </row>
    <row r="251" spans="1:6">
      <c r="A251">
        <v>2251</v>
      </c>
      <c r="B251" s="2">
        <v>2</v>
      </c>
      <c r="C251" t="str">
        <f t="shared" si="11"/>
        <v>'2251'</v>
      </c>
      <c r="D251" t="str">
        <f>$N$1 &amp; "ObjectPermission-MenuText" &amp; $N$1</f>
        <v>'ObjectPermission-MenuText'</v>
      </c>
      <c r="E251" t="str">
        <f>$N$1 &amp; "Objetos de Permissões" &amp; $N$1</f>
        <v>'Objetos de Permissões'</v>
      </c>
      <c r="F251" t="str">
        <f t="shared" si="10"/>
        <v>insert into sysLocalizationText Values(2251,'2251','ObjectPermission-MenuText','Objetos de Permissões',getdate(),getdate(),2)</v>
      </c>
    </row>
    <row r="252" spans="1:6">
      <c r="A252">
        <v>2252</v>
      </c>
      <c r="B252" s="2">
        <v>2</v>
      </c>
      <c r="C252" t="str">
        <f t="shared" si="11"/>
        <v>'2252'</v>
      </c>
      <c r="D252" t="str">
        <f>$N$1 &amp; "Permissions-MenuText" &amp; $N$1</f>
        <v>'Permissions-MenuText'</v>
      </c>
      <c r="E252" t="str">
        <f>$N$1 &amp; "Permissões" &amp; $N$1</f>
        <v>'Permissões'</v>
      </c>
      <c r="F252" t="str">
        <f t="shared" si="10"/>
        <v>insert into sysLocalizationText Values(2252,'2252','Permissions-MenuText','Permissões',getdate(),getdate(),2)</v>
      </c>
    </row>
    <row r="253" spans="1:6">
      <c r="A253">
        <v>2253</v>
      </c>
      <c r="B253" s="2">
        <v>2</v>
      </c>
      <c r="C253" t="str">
        <f t="shared" si="11"/>
        <v>'2253'</v>
      </c>
      <c r="D253" t="str">
        <f>$N$1 &amp; "Localization-MenuText" &amp; $N$1</f>
        <v>'Localization-MenuText'</v>
      </c>
      <c r="E253" t="str">
        <f>$N$1 &amp; "Textos de Localização" &amp; $N$1</f>
        <v>'Textos de Localização'</v>
      </c>
      <c r="F253" t="str">
        <f t="shared" si="10"/>
        <v>insert into sysLocalizationText Values(2253,'2253','Localization-MenuText','Textos de Localização',getdate(),getdate(),2)</v>
      </c>
    </row>
    <row r="254" spans="1:6">
      <c r="A254">
        <v>2256</v>
      </c>
      <c r="B254" s="2">
        <v>2</v>
      </c>
      <c r="C254" t="str">
        <f t="shared" si="11"/>
        <v>'2256'</v>
      </c>
      <c r="D254" t="str">
        <f>$N$1 &amp; "DataLog-MenuText" &amp; $N$1</f>
        <v>'DataLog-MenuText'</v>
      </c>
      <c r="E254" t="str">
        <f>$N$1 &amp; "Log de Dados" &amp; $N$1</f>
        <v>'Log de Dados'</v>
      </c>
      <c r="F254" t="str">
        <f t="shared" si="10"/>
        <v>insert into sysLocalizationText Values(2256,'2256','DataLog-MenuText','Log de Dados',getdate(),getdate(),2)</v>
      </c>
    </row>
    <row r="255" spans="1:6">
      <c r="A255">
        <v>2257</v>
      </c>
      <c r="B255" s="2">
        <v>2</v>
      </c>
      <c r="C255" t="str">
        <f t="shared" si="11"/>
        <v>'2257'</v>
      </c>
      <c r="D255" t="str">
        <f>$N$1 &amp; "SessionLog-MenuText" &amp; $N$1</f>
        <v>'SessionLog-MenuText'</v>
      </c>
      <c r="E255" t="str">
        <f>$N$1 &amp; "Log de Sessão" &amp; $N$1</f>
        <v>'Log de Sessão'</v>
      </c>
      <c r="F255" t="str">
        <f t="shared" si="10"/>
        <v>insert into sysLocalizationText Values(2257,'2257','SessionLog-MenuText','Log de Sessão',getdate(),getdate(),2)</v>
      </c>
    </row>
    <row r="256" spans="1:6">
      <c r="A256">
        <v>2258</v>
      </c>
      <c r="B256" s="2">
        <v>2</v>
      </c>
      <c r="C256" t="str">
        <f t="shared" ref="C256:C261" si="12">"'" &amp; A256 &amp; "'"</f>
        <v>'2258'</v>
      </c>
      <c r="D256" t="str">
        <f>$N$1 &amp; "SearchByGroupParameterName-Label" &amp; $N$1</f>
        <v>'SearchByGroupParameterName-Label'</v>
      </c>
      <c r="E256" t="str">
        <f>$N$1 &amp; "Nome do Grupo de Parâmetro" &amp; $N$1</f>
        <v>'Nome do Grupo de Parâmetro'</v>
      </c>
      <c r="F256" t="str">
        <f t="shared" si="10"/>
        <v>insert into sysLocalizationText Values(2258,'2258','SearchByGroupParameterName-Label','Nome do Grupo de Parâmetro',getdate(),getdate(),2)</v>
      </c>
    </row>
    <row r="257" spans="1:6">
      <c r="A257">
        <v>2259</v>
      </c>
      <c r="B257" s="2">
        <v>2</v>
      </c>
      <c r="C257" t="str">
        <f t="shared" si="12"/>
        <v>'2259'</v>
      </c>
      <c r="D257" t="str">
        <f>$N$1 &amp; "SearchByGroupParameterName-Description" &amp; $N$1</f>
        <v>'SearchByGroupParameterName-Description'</v>
      </c>
      <c r="E257" t="str">
        <f>$N$1 &amp; "Pesquisar por Nome de Grupo de Parâmetro" &amp; $N$1</f>
        <v>'Pesquisar por Nome de Grupo de Parâmetro'</v>
      </c>
      <c r="F257" t="str">
        <f t="shared" si="10"/>
        <v>insert into sysLocalizationText Values(2259,'2259','SearchByGroupParameterName-Description','Pesquisar por Nome de Grupo de Parâmetro',getdate(),getdate(),2)</v>
      </c>
    </row>
    <row r="258" spans="1:6">
      <c r="A258">
        <v>2260</v>
      </c>
      <c r="B258" s="2">
        <v>2</v>
      </c>
      <c r="C258" t="str">
        <f t="shared" si="12"/>
        <v>'2260'</v>
      </c>
      <c r="D258" t="str">
        <f>$N$1 &amp; "NewGroupParameter-Label" &amp; $N$1</f>
        <v>'NewGroupParameter-Label'</v>
      </c>
      <c r="E258" t="str">
        <f>$N$1 &amp; "Novo Grupo de Parâmetro" &amp; $N$1</f>
        <v>'Novo Grupo de Parâmetro'</v>
      </c>
      <c r="F258" t="str">
        <f t="shared" ref="F258:F321" si="13">"insert into sysLocalizationText Values(" &amp;A258 &amp; "," &amp;C258 &amp; "," &amp; D258 &amp; "," &amp; E258 &amp; ",getdate(),getdate()," &amp; B258 &amp; ")"</f>
        <v>insert into sysLocalizationText Values(2260,'2260','NewGroupParameter-Label','Novo Grupo de Parâmetro',getdate(),getdate(),2)</v>
      </c>
    </row>
    <row r="259" spans="1:6">
      <c r="A259">
        <v>2261</v>
      </c>
      <c r="B259" s="2">
        <v>2</v>
      </c>
      <c r="C259" t="str">
        <f t="shared" si="12"/>
        <v>'2261'</v>
      </c>
      <c r="D259" t="str">
        <f>$N$1 &amp; "NewGroupParameter-Description" &amp; $N$1</f>
        <v>'NewGroupParameter-Description'</v>
      </c>
      <c r="E259" t="str">
        <f>$N$1 &amp; "Clique aqui para criar um novo Grupo de Parâmetro " &amp; $N$1</f>
        <v>'Clique aqui para criar um novo Grupo de Parâmetro '</v>
      </c>
      <c r="F259" t="str">
        <f t="shared" si="13"/>
        <v>insert into sysLocalizationText Values(2261,'2261','NewGroupParameter-Description','Clique aqui para criar um novo Grupo de Parâmetro ',getdate(),getdate(),2)</v>
      </c>
    </row>
    <row r="260" spans="1:6">
      <c r="A260">
        <v>2262</v>
      </c>
      <c r="B260" s="2">
        <v>2</v>
      </c>
      <c r="C260" t="str">
        <f t="shared" si="12"/>
        <v>'2262'</v>
      </c>
      <c r="D260" t="str">
        <f>$N$1 &amp; "GroupParameterRecord-Label" &amp; $N$1</f>
        <v>'GroupParameterRecord-Label'</v>
      </c>
      <c r="E260" t="str">
        <f>$N$1 &amp; "Dados do Grupo de Parâmetro" &amp; $N$1</f>
        <v>'Dados do Grupo de Parâmetro'</v>
      </c>
      <c r="F260" t="str">
        <f t="shared" si="13"/>
        <v>insert into sysLocalizationText Values(2262,'2262','GroupParameterRecord-Label','Dados do Grupo de Parâmetro',getdate(),getdate(),2)</v>
      </c>
    </row>
    <row r="261" spans="1:6">
      <c r="A261">
        <v>2263</v>
      </c>
      <c r="B261" s="2">
        <v>2</v>
      </c>
      <c r="C261" t="str">
        <f t="shared" si="12"/>
        <v>'2263'</v>
      </c>
      <c r="D261" t="str">
        <f>$N$1 &amp; "GroupParameterName-Label" &amp; $N$1</f>
        <v>'GroupParameterName-Label'</v>
      </c>
      <c r="E261" t="str">
        <f>$N$1 &amp; "Nome do Grupo de Parâmetro" &amp; $N$1</f>
        <v>'Nome do Grupo de Parâmetro'</v>
      </c>
      <c r="F261" t="str">
        <f t="shared" si="13"/>
        <v>insert into sysLocalizationText Values(2263,'2263','GroupParameterName-Label','Nome do Grupo de Parâmetro',getdate(),getdate(),2)</v>
      </c>
    </row>
    <row r="262" spans="1:6">
      <c r="A262">
        <v>2264</v>
      </c>
      <c r="B262" s="2">
        <v>2</v>
      </c>
      <c r="C262" t="str">
        <f t="shared" ref="C262:C268" si="14">"'" &amp; A262 &amp; "'"</f>
        <v>'2264'</v>
      </c>
      <c r="D262" t="str">
        <f>$N$1 &amp; "SaveGroupParameterButton-Label" &amp; $N$1</f>
        <v>'SaveGroupParameterButton-Label'</v>
      </c>
      <c r="E262" t="str">
        <f>$N$1 &amp; "Save Group Parameter" &amp; $N$1</f>
        <v>'Save Group Parameter'</v>
      </c>
      <c r="F262" t="str">
        <f t="shared" si="13"/>
        <v>insert into sysLocalizationText Values(2264,'2264','SaveGroupParameterButton-Label','Save Group Parameter',getdate(),getdate(),2)</v>
      </c>
    </row>
    <row r="263" spans="1:6">
      <c r="A263">
        <v>2265</v>
      </c>
      <c r="B263" s="2">
        <v>2</v>
      </c>
      <c r="C263" t="str">
        <f t="shared" si="14"/>
        <v>'2265'</v>
      </c>
      <c r="D263" t="str">
        <f>$N$1 &amp; "SaveGroupParameterButton-Description" &amp; $N$1</f>
        <v>'SaveGroupParameterButton-Description'</v>
      </c>
      <c r="E263" t="str">
        <f>$N$1 &amp; "Clique aqui para salvar o Grupo de Parâmetro" &amp; $N$1</f>
        <v>'Clique aqui para salvar o Grupo de Parâmetro'</v>
      </c>
      <c r="F263" t="str">
        <f t="shared" si="13"/>
        <v>insert into sysLocalizationText Values(2265,'2265','SaveGroupParameterButton-Description','Clique aqui para salvar o Grupo de Parâmetro',getdate(),getdate(),2)</v>
      </c>
    </row>
    <row r="264" spans="1:6">
      <c r="A264">
        <v>2266</v>
      </c>
      <c r="B264" s="2">
        <v>2</v>
      </c>
      <c r="C264" t="str">
        <f t="shared" si="14"/>
        <v>'2266'</v>
      </c>
      <c r="D264" t="str">
        <f>$N$1 &amp; "GroupParameter-PageTitle" &amp; $N$1</f>
        <v>'GroupParameter-PageTitle'</v>
      </c>
      <c r="E264" t="str">
        <f>$N$1 &amp; "Grupo de Parâmetros" &amp; $N$1</f>
        <v>'Grupo de Parâmetros'</v>
      </c>
      <c r="F264" t="str">
        <f t="shared" si="13"/>
        <v>insert into sysLocalizationText Values(2266,'2266','GroupParameter-PageTitle','Grupo de Parâmetros',getdate(),getdate(),2)</v>
      </c>
    </row>
    <row r="265" spans="1:6">
      <c r="A265">
        <v>2267</v>
      </c>
      <c r="B265" s="2">
        <v>2</v>
      </c>
      <c r="C265" t="str">
        <f t="shared" si="14"/>
        <v>'2267'</v>
      </c>
      <c r="D265" t="str">
        <f>$N$1 &amp; "SearchByParameterName-Label" &amp; $N$1</f>
        <v>'SearchByParameterName-Label'</v>
      </c>
      <c r="E265" t="str">
        <f>$N$1 &amp; "Nome do Parâmetro" &amp; $N$1</f>
        <v>'Nome do Parâmetro'</v>
      </c>
      <c r="F265" t="str">
        <f t="shared" si="13"/>
        <v>insert into sysLocalizationText Values(2267,'2267','SearchByParameterName-Label','Nome do Parâmetro',getdate(),getdate(),2)</v>
      </c>
    </row>
    <row r="266" spans="1:6">
      <c r="A266">
        <v>2268</v>
      </c>
      <c r="B266" s="2">
        <v>2</v>
      </c>
      <c r="C266" t="str">
        <f t="shared" si="14"/>
        <v>'2268'</v>
      </c>
      <c r="D266" t="str">
        <f>$N$1 &amp; "SearchByParameterName-Description" &amp; $N$1</f>
        <v>'SearchByParameterName-Description'</v>
      </c>
      <c r="E266" t="str">
        <f>$N$1 &amp; "Pesquisar por Nome do Parâmetro" &amp; $N$1</f>
        <v>'Pesquisar por Nome do Parâmetro'</v>
      </c>
      <c r="F266" t="str">
        <f t="shared" si="13"/>
        <v>insert into sysLocalizationText Values(2268,'2268','SearchByParameterName-Description','Pesquisar por Nome do Parâmetro',getdate(),getdate(),2)</v>
      </c>
    </row>
    <row r="267" spans="1:6">
      <c r="A267">
        <v>2269</v>
      </c>
      <c r="B267" s="2">
        <v>2</v>
      </c>
      <c r="C267" t="str">
        <f t="shared" si="14"/>
        <v>'2269'</v>
      </c>
      <c r="D267" t="str">
        <f>$N$1 &amp; "NewParameter-Label" &amp; $N$1</f>
        <v>'NewParameter-Label'</v>
      </c>
      <c r="E267" t="str">
        <f>$N$1 &amp; "Novo Parâmetro" &amp; $N$1</f>
        <v>'Novo Parâmetro'</v>
      </c>
      <c r="F267" t="str">
        <f t="shared" si="13"/>
        <v>insert into sysLocalizationText Values(2269,'2269','NewParameter-Label','Novo Parâmetro',getdate(),getdate(),2)</v>
      </c>
    </row>
    <row r="268" spans="1:6">
      <c r="A268">
        <v>2270</v>
      </c>
      <c r="B268" s="2">
        <v>2</v>
      </c>
      <c r="C268" t="str">
        <f t="shared" si="14"/>
        <v>'2270'</v>
      </c>
      <c r="D268" t="str">
        <f>$N$1 &amp; "NewParameter-Description" &amp; $N$1</f>
        <v>'NewParameter-Description'</v>
      </c>
      <c r="E268" t="str">
        <f>$N$1 &amp; "Clique aqui par acriar um novo Parâmetro" &amp; $N$1</f>
        <v>'Clique aqui par acriar um novo Parâmetro'</v>
      </c>
      <c r="F268" t="str">
        <f t="shared" si="13"/>
        <v>insert into sysLocalizationText Values(2270,'2270','NewParameter-Description','Clique aqui par acriar um novo Parâmetro',getdate(),getdate(),2)</v>
      </c>
    </row>
    <row r="269" spans="1:6">
      <c r="A269">
        <v>2271</v>
      </c>
      <c r="B269" s="2">
        <v>2</v>
      </c>
      <c r="C269" t="str">
        <f t="shared" ref="C269:C280" si="15">"'" &amp; A269 &amp; "'"</f>
        <v>'2271'</v>
      </c>
      <c r="D269" t="str">
        <f>$N$1 &amp; "ParameterRecord-Label" &amp; $N$1</f>
        <v>'ParameterRecord-Label'</v>
      </c>
      <c r="E269" t="str">
        <f>$N$1 &amp; "Dados do Parâmetro" &amp; $N$1</f>
        <v>'Dados do Parâmetro'</v>
      </c>
      <c r="F269" t="str">
        <f t="shared" si="13"/>
        <v>insert into sysLocalizationText Values(2271,'2271','ParameterRecord-Label','Dados do Parâmetro',getdate(),getdate(),2)</v>
      </c>
    </row>
    <row r="270" spans="1:6">
      <c r="A270">
        <v>2272</v>
      </c>
      <c r="B270" s="2">
        <v>2</v>
      </c>
      <c r="C270" t="str">
        <f t="shared" si="15"/>
        <v>'2272'</v>
      </c>
      <c r="D270" t="str">
        <f>$N$1 &amp; "ParameterName-Label" &amp; $N$1</f>
        <v>'ParameterName-Label'</v>
      </c>
      <c r="E270" t="str">
        <f>$N$1 &amp; "Nome do Parâmetro" &amp; $N$1</f>
        <v>'Nome do Parâmetro'</v>
      </c>
      <c r="F270" t="str">
        <f t="shared" si="13"/>
        <v>insert into sysLocalizationText Values(2272,'2272','ParameterName-Label','Nome do Parâmetro',getdate(),getdate(),2)</v>
      </c>
    </row>
    <row r="271" spans="1:6">
      <c r="A271">
        <v>2273</v>
      </c>
      <c r="B271" s="2">
        <v>2</v>
      </c>
      <c r="C271" t="str">
        <f t="shared" si="15"/>
        <v>'2273'</v>
      </c>
      <c r="D271" t="str">
        <f>$N$1 &amp; "SaveParameterButton-Label" &amp; $N$1</f>
        <v>'SaveParameterButton-Label'</v>
      </c>
      <c r="E271" t="str">
        <f>$N$1 &amp; "Salvar Parâmetro" &amp; $N$1</f>
        <v>'Salvar Parâmetro'</v>
      </c>
      <c r="F271" t="str">
        <f t="shared" si="13"/>
        <v>insert into sysLocalizationText Values(2273,'2273','SaveParameterButton-Label','Salvar Parâmetro',getdate(),getdate(),2)</v>
      </c>
    </row>
    <row r="272" spans="1:6">
      <c r="A272">
        <v>2274</v>
      </c>
      <c r="B272" s="2">
        <v>2</v>
      </c>
      <c r="C272" t="str">
        <f t="shared" si="15"/>
        <v>'2274'</v>
      </c>
      <c r="D272" t="str">
        <f>$N$1 &amp; "SaveParameterButton-Description" &amp; $N$1</f>
        <v>'SaveParameterButton-Description'</v>
      </c>
      <c r="E272" t="str">
        <f>$N$1 &amp; "Clique aqui para salvar o Parâmetro" &amp; $N$1</f>
        <v>'Clique aqui para salvar o Parâmetro'</v>
      </c>
      <c r="F272" t="str">
        <f t="shared" si="13"/>
        <v>insert into sysLocalizationText Values(2274,'2274','SaveParameterButton-Description','Clique aqui para salvar o Parâmetro',getdate(),getdate(),2)</v>
      </c>
    </row>
    <row r="273" spans="1:6">
      <c r="A273">
        <v>2275</v>
      </c>
      <c r="B273" s="2">
        <v>2</v>
      </c>
      <c r="C273" t="str">
        <f t="shared" ref="C273:C296" si="16">"'" &amp; A273 &amp; "'"</f>
        <v>'2275'</v>
      </c>
      <c r="D273" t="str">
        <f>$N$1 &amp; "Parameter-PageTitle" &amp; $N$1</f>
        <v>'Parameter-PageTitle'</v>
      </c>
      <c r="E273" t="str">
        <f>$N$1 &amp; "Parâmetros" &amp; $N$1</f>
        <v>'Parâmetros'</v>
      </c>
      <c r="F273" t="str">
        <f t="shared" si="13"/>
        <v>insert into sysLocalizationText Values(2275,'2275','Parameter-PageTitle','Parâmetros',getdate(),getdate(),2)</v>
      </c>
    </row>
    <row r="274" spans="1:6">
      <c r="A274">
        <v>2276</v>
      </c>
      <c r="B274" s="2">
        <v>2</v>
      </c>
      <c r="C274" t="str">
        <f t="shared" si="15"/>
        <v>'2276'</v>
      </c>
      <c r="D274" s="1" t="s">
        <v>150</v>
      </c>
      <c r="E274" s="1" t="s">
        <v>152</v>
      </c>
      <c r="F274" t="str">
        <f t="shared" si="13"/>
        <v>insert into sysLocalizationText Values(2276,'2276','ChangeUserLanguage-Title','Alterar linguagem do usuário',getdate(),getdate(),2)</v>
      </c>
    </row>
    <row r="275" spans="1:6">
      <c r="A275">
        <v>2277</v>
      </c>
      <c r="B275" s="2">
        <v>2</v>
      </c>
      <c r="C275" t="str">
        <f t="shared" si="16"/>
        <v>'2277'</v>
      </c>
      <c r="D275" s="1" t="s">
        <v>151</v>
      </c>
      <c r="E275" s="1" t="s">
        <v>153</v>
      </c>
      <c r="F275" t="str">
        <f t="shared" si="13"/>
        <v>insert into sysLocalizationText Values(2277,'2277','ChangeUserLanguage-Message','A linguagem do usuário foi alterada com sucesso. Faça login novamente.',getdate(),getdate(),2)</v>
      </c>
    </row>
    <row r="276" spans="1:6">
      <c r="A276">
        <v>2278</v>
      </c>
      <c r="B276" s="2">
        <v>2</v>
      </c>
      <c r="C276" t="str">
        <f t="shared" si="15"/>
        <v>'2278'</v>
      </c>
      <c r="D276" t="str">
        <f>$N$1 &amp; "ExceptionLog-PageTitle" &amp; $N$1</f>
        <v>'ExceptionLog-PageTitle'</v>
      </c>
      <c r="E276" t="str">
        <f>$N$1 &amp; "Log de Exceções" &amp; $N$1</f>
        <v>'Log de Exceções'</v>
      </c>
      <c r="F276" t="str">
        <f t="shared" si="13"/>
        <v>insert into sysLocalizationText Values(2278,'2278','ExceptionLog-PageTitle','Log de Exceções',getdate(),getdate(),2)</v>
      </c>
    </row>
    <row r="277" spans="1:6">
      <c r="A277">
        <v>2279</v>
      </c>
      <c r="B277" s="2">
        <v>2</v>
      </c>
      <c r="C277" t="str">
        <f t="shared" si="16"/>
        <v>'2279'</v>
      </c>
      <c r="D277" t="str">
        <f>$N$1 &amp; "SearchByOrgin-Label" &amp; $N$1</f>
        <v>'SearchByOrgin-Label'</v>
      </c>
      <c r="E277" t="str">
        <f>$N$1 &amp; "Pesquisar por Origem" &amp; $N$1</f>
        <v>'Pesquisar por Origem'</v>
      </c>
      <c r="F277" t="str">
        <f t="shared" si="13"/>
        <v>insert into sysLocalizationText Values(2279,'2279','SearchByOrgin-Label','Pesquisar por Origem',getdate(),getdate(),2)</v>
      </c>
    </row>
    <row r="278" spans="1:6">
      <c r="A278">
        <v>2280</v>
      </c>
      <c r="B278" s="2">
        <v>2</v>
      </c>
      <c r="C278" t="str">
        <f t="shared" si="15"/>
        <v>'2280'</v>
      </c>
      <c r="D278" t="str">
        <f>$N$1 &amp; "Origin-Label" &amp; $N$1</f>
        <v>'Origin-Label'</v>
      </c>
      <c r="E278" t="str">
        <f>$N$1 &amp; "Origem" &amp; $N$1</f>
        <v>'Origem'</v>
      </c>
      <c r="F278" t="str">
        <f t="shared" si="13"/>
        <v>insert into sysLocalizationText Values(2280,'2280','Origin-Label','Origem',getdate(),getdate(),2)</v>
      </c>
    </row>
    <row r="279" spans="1:6">
      <c r="A279">
        <v>2281</v>
      </c>
      <c r="B279" s="2">
        <v>2</v>
      </c>
      <c r="C279" t="str">
        <f t="shared" si="16"/>
        <v>'2281'</v>
      </c>
      <c r="D279" t="str">
        <f>$N$1 &amp; "TargetSite-Label" &amp; $N$1</f>
        <v>'TargetSite-Label'</v>
      </c>
      <c r="E279" t="str">
        <f>$N$1 &amp; "Local Alvo" &amp; $N$1</f>
        <v>'Local Alvo'</v>
      </c>
      <c r="F279" t="str">
        <f t="shared" si="13"/>
        <v>insert into sysLocalizationText Values(2281,'2281','TargetSite-Label','Local Alvo',getdate(),getdate(),2)</v>
      </c>
    </row>
    <row r="280" spans="1:6">
      <c r="A280">
        <v>2282</v>
      </c>
      <c r="B280" s="2">
        <v>2</v>
      </c>
      <c r="C280" t="str">
        <f t="shared" si="15"/>
        <v>'2282'</v>
      </c>
      <c r="D280" t="str">
        <f>$N$1 &amp; "ErrMessage-Label" &amp; $N$1</f>
        <v>'ErrMessage-Label'</v>
      </c>
      <c r="E280" t="str">
        <f>$N$1 &amp; "Messagem de Erro" &amp; $N$1</f>
        <v>'Messagem de Erro'</v>
      </c>
      <c r="F280" t="str">
        <f t="shared" si="13"/>
        <v>insert into sysLocalizationText Values(2282,'2282','ErrMessage-Label','Messagem de Erro',getdate(),getdate(),2)</v>
      </c>
    </row>
    <row r="281" spans="1:6">
      <c r="A281">
        <v>2283</v>
      </c>
      <c r="B281" s="2">
        <v>2</v>
      </c>
      <c r="C281" t="str">
        <f t="shared" si="16"/>
        <v>'2283'</v>
      </c>
      <c r="D281" t="str">
        <f>$N$1 &amp; "StackTrace-Label" &amp; $N$1</f>
        <v>'StackTrace-Label'</v>
      </c>
      <c r="E281" t="str">
        <f>$N$1 &amp; "Rastreamento da Pilha" &amp; $N$1</f>
        <v>'Rastreamento da Pilha'</v>
      </c>
      <c r="F281" t="str">
        <f t="shared" si="13"/>
        <v>insert into sysLocalizationText Values(2283,'2283','StackTrace-Label','Rastreamento da Pilha',getdate(),getdate(),2)</v>
      </c>
    </row>
    <row r="282" spans="1:6">
      <c r="A282">
        <v>2284</v>
      </c>
      <c r="B282" s="2">
        <v>2</v>
      </c>
      <c r="C282" t="str">
        <f t="shared" ref="C282" si="17">"'" &amp; A282 &amp; "'"</f>
        <v>'2284'</v>
      </c>
      <c r="D282" t="str">
        <f>$N$1 &amp; "ClientIP-Label" &amp; $N$1</f>
        <v>'ClientIP-Label'</v>
      </c>
      <c r="E282" t="str">
        <f>$N$1 &amp; "IP do Cliente" &amp; $N$1</f>
        <v>'IP do Cliente'</v>
      </c>
      <c r="F282" t="str">
        <f t="shared" si="13"/>
        <v>insert into sysLocalizationText Values(2284,'2284','ClientIP-Label','IP do Cliente',getdate(),getdate(),2)</v>
      </c>
    </row>
    <row r="283" spans="1:6">
      <c r="A283">
        <v>2285</v>
      </c>
      <c r="B283" s="2">
        <v>2</v>
      </c>
      <c r="C283" t="str">
        <f t="shared" si="16"/>
        <v>'2285'</v>
      </c>
      <c r="D283" t="str">
        <f>$N$1 &amp; "SearchByConfigName-Label" &amp; $N$1</f>
        <v>'SearchByConfigName-Label'</v>
      </c>
      <c r="E283" t="str">
        <f>$N$1 &amp; "Por Nome Configuração" &amp; $N$1</f>
        <v>'Por Nome Configuração'</v>
      </c>
      <c r="F283" t="str">
        <f t="shared" si="13"/>
        <v>insert into sysLocalizationText Values(2285,'2285','SearchByConfigName-Label','Por Nome Configuração',getdate(),getdate(),2)</v>
      </c>
    </row>
    <row r="284" spans="1:6">
      <c r="A284">
        <v>2286</v>
      </c>
      <c r="B284" s="2">
        <v>2</v>
      </c>
      <c r="C284" t="str">
        <f t="shared" si="16"/>
        <v>'2286'</v>
      </c>
      <c r="D284" t="str">
        <f>$N$1 &amp; "SearchByConfigName-Description" &amp; $N$1</f>
        <v>'SearchByConfigName-Description'</v>
      </c>
      <c r="E284" t="str">
        <f>$N$1 &amp; "Pesquisar por Nome Configuração" &amp; $N$1</f>
        <v>'Pesquisar por Nome Configuração'</v>
      </c>
      <c r="F284" t="str">
        <f t="shared" si="13"/>
        <v>insert into sysLocalizationText Values(2286,'2286','SearchByConfigName-Description','Pesquisar por Nome Configuração',getdate(),getdate(),2)</v>
      </c>
    </row>
    <row r="285" spans="1:6">
      <c r="A285">
        <v>2287</v>
      </c>
      <c r="B285" s="2">
        <v>2</v>
      </c>
      <c r="C285" t="str">
        <f t="shared" si="16"/>
        <v>'2287'</v>
      </c>
      <c r="D285" t="str">
        <f>$N$1 &amp; "NewConfig-Label" &amp; $N$1</f>
        <v>'NewConfig-Label'</v>
      </c>
      <c r="E285" t="str">
        <f>$N$1 &amp; "Nova Configguração" &amp; $N$1</f>
        <v>'Nova Configguração'</v>
      </c>
      <c r="F285" t="str">
        <f t="shared" si="13"/>
        <v>insert into sysLocalizationText Values(2287,'2287','NewConfig-Label','Nova Configguração',getdate(),getdate(),2)</v>
      </c>
    </row>
    <row r="286" spans="1:6">
      <c r="A286">
        <v>2288</v>
      </c>
      <c r="B286" s="2">
        <v>2</v>
      </c>
      <c r="C286" t="str">
        <f t="shared" si="16"/>
        <v>'2288'</v>
      </c>
      <c r="D286" t="str">
        <f>$N$1 &amp; "NewConfig-Description" &amp; $N$1</f>
        <v>'NewConfig-Description'</v>
      </c>
      <c r="E286" t="str">
        <f>$N$1 &amp; "Clique aqui para criar uma nova Configuração" &amp; $N$1</f>
        <v>'Clique aqui para criar uma nova Configuração'</v>
      </c>
      <c r="F286" t="str">
        <f t="shared" si="13"/>
        <v>insert into sysLocalizationText Values(2288,'2288','NewConfig-Description','Clique aqui para criar uma nova Configuração',getdate(),getdate(),2)</v>
      </c>
    </row>
    <row r="287" spans="1:6">
      <c r="A287">
        <v>2289</v>
      </c>
      <c r="B287" s="2">
        <v>2</v>
      </c>
      <c r="C287" t="str">
        <f t="shared" si="16"/>
        <v>'2289'</v>
      </c>
      <c r="D287" t="str">
        <f>$N$1 &amp; "ConfigName" &amp; $N$1</f>
        <v>'ConfigName'</v>
      </c>
      <c r="E287" t="str">
        <f>$N$1 &amp; "Nome Configuração" &amp; $N$1</f>
        <v>'Nome Configuração'</v>
      </c>
      <c r="F287" t="str">
        <f t="shared" si="13"/>
        <v>insert into sysLocalizationText Values(2289,'2289','ConfigName','Nome Configuração',getdate(),getdate(),2)</v>
      </c>
    </row>
    <row r="288" spans="1:6">
      <c r="A288">
        <v>2290</v>
      </c>
      <c r="B288" s="2">
        <v>2</v>
      </c>
      <c r="C288" t="str">
        <f t="shared" si="16"/>
        <v>'2290'</v>
      </c>
      <c r="D288" t="str">
        <f>$N$1 &amp; "ConfigRecord-Label" &amp; $N$1</f>
        <v>'ConfigRecord-Label'</v>
      </c>
      <c r="E288" t="str">
        <f>$N$1 &amp; "Configurações" &amp; $N$1</f>
        <v>'Configurações'</v>
      </c>
      <c r="F288" t="str">
        <f t="shared" si="13"/>
        <v>insert into sysLocalizationText Values(2290,'2290','ConfigRecord-Label','Configurações',getdate(),getdate(),2)</v>
      </c>
    </row>
    <row r="289" spans="1:6">
      <c r="A289">
        <v>2291</v>
      </c>
      <c r="B289" s="2">
        <v>2</v>
      </c>
      <c r="C289" t="str">
        <f t="shared" si="16"/>
        <v>'2291'</v>
      </c>
      <c r="D289" t="str">
        <f>$N$1 &amp; "ConfigName-Label" &amp; $N$1</f>
        <v>'ConfigName-Label'</v>
      </c>
      <c r="E289" t="str">
        <f>$N$1 &amp; "Nome da Configuração" &amp; $N$1</f>
        <v>'Nome da Configuração'</v>
      </c>
      <c r="F289" t="str">
        <f t="shared" si="13"/>
        <v>insert into sysLocalizationText Values(2291,'2291','ConfigName-Label','Nome da Configuração',getdate(),getdate(),2)</v>
      </c>
    </row>
    <row r="290" spans="1:6">
      <c r="A290">
        <v>2292</v>
      </c>
      <c r="B290" s="2">
        <v>2</v>
      </c>
      <c r="C290" t="str">
        <f t="shared" si="16"/>
        <v>'2292'</v>
      </c>
      <c r="D290" t="str">
        <f>$N$1 &amp; "ConfigValue-Label" &amp; $N$1</f>
        <v>'ConfigValue-Label'</v>
      </c>
      <c r="E290" t="str">
        <f>$N$1 &amp; "Valor da Configuração" &amp; $N$1</f>
        <v>'Valor da Configuração'</v>
      </c>
      <c r="F290" t="str">
        <f t="shared" si="13"/>
        <v>insert into sysLocalizationText Values(2292,'2292','ConfigValue-Label','Valor da Configuração',getdate(),getdate(),2)</v>
      </c>
    </row>
    <row r="291" spans="1:6">
      <c r="A291">
        <v>2293</v>
      </c>
      <c r="B291" s="2">
        <v>2</v>
      </c>
      <c r="C291" t="str">
        <f t="shared" si="16"/>
        <v>'2293'</v>
      </c>
      <c r="D291" t="str">
        <f>$N$1 &amp; "ConfigValue" &amp; $N$1</f>
        <v>'ConfigValue'</v>
      </c>
      <c r="E291" t="str">
        <f>$N$1 &amp; "Valor da Configuração" &amp; $N$1</f>
        <v>'Valor da Configuração'</v>
      </c>
      <c r="F291" t="str">
        <f t="shared" si="13"/>
        <v>insert into sysLocalizationText Values(2293,'2293','ConfigValue','Valor da Configuração',getdate(),getdate(),2)</v>
      </c>
    </row>
    <row r="292" spans="1:6">
      <c r="A292">
        <v>2294</v>
      </c>
      <c r="B292" s="2">
        <v>2</v>
      </c>
      <c r="C292" t="str">
        <f t="shared" si="16"/>
        <v>'2294'</v>
      </c>
      <c r="D292" t="str">
        <f>$N$1 &amp; "SaveConfigButton-Label" &amp; $N$1</f>
        <v>'SaveConfigButton-Label'</v>
      </c>
      <c r="E292" t="str">
        <f>$N$1 &amp; "Salvar Configuração" &amp; $N$1</f>
        <v>'Salvar Configuração'</v>
      </c>
      <c r="F292" t="str">
        <f t="shared" si="13"/>
        <v>insert into sysLocalizationText Values(2294,'2294','SaveConfigButton-Label','Salvar Configuração',getdate(),getdate(),2)</v>
      </c>
    </row>
    <row r="293" spans="1:6">
      <c r="A293">
        <v>2295</v>
      </c>
      <c r="B293" s="2">
        <v>2</v>
      </c>
      <c r="C293" t="str">
        <f t="shared" si="16"/>
        <v>'2295'</v>
      </c>
      <c r="D293" t="str">
        <f>$N$1 &amp; "SaveConfigButton-Description" &amp; $N$1</f>
        <v>'SaveConfigButton-Description'</v>
      </c>
      <c r="E293" t="str">
        <f>$N$1 &amp; "Clique aqui para salvar a Configuração" &amp; $N$1</f>
        <v>'Clique aqui para salvar a Configuração'</v>
      </c>
      <c r="F293" t="str">
        <f t="shared" si="13"/>
        <v>insert into sysLocalizationText Values(2295,'2295','SaveConfigButton-Description','Clique aqui para salvar a Configuração',getdate(),getdate(),2)</v>
      </c>
    </row>
    <row r="294" spans="1:6">
      <c r="A294">
        <v>2296</v>
      </c>
      <c r="B294" s="2">
        <v>2</v>
      </c>
      <c r="C294" t="str">
        <f t="shared" si="16"/>
        <v>'2296'</v>
      </c>
      <c r="D294" t="str">
        <f>$N$1 &amp; "Configs-PageTitle" &amp; $N$1</f>
        <v>'Configs-PageTitle'</v>
      </c>
      <c r="E294" t="str">
        <f>$N$1 &amp; "Configurações" &amp; $N$1</f>
        <v>'Configurações'</v>
      </c>
      <c r="F294" t="str">
        <f t="shared" si="13"/>
        <v>insert into sysLocalizationText Values(2296,'2296','Configs-PageTitle','Configurações',getdate(),getdate(),2)</v>
      </c>
    </row>
    <row r="295" spans="1:6">
      <c r="A295">
        <v>2297</v>
      </c>
      <c r="B295" s="2">
        <v>2</v>
      </c>
      <c r="C295" t="str">
        <f t="shared" si="16"/>
        <v>'2297'</v>
      </c>
      <c r="D295" t="str">
        <f>$N$1 &amp; "Logout-Label" &amp; $N$1</f>
        <v>'Logout-Label'</v>
      </c>
      <c r="E295" t="str">
        <f>$N$1 &amp; "Sair" &amp; $N$1</f>
        <v>'Sair'</v>
      </c>
      <c r="F295" t="str">
        <f t="shared" si="13"/>
        <v>insert into sysLocalizationText Values(2297,'2297','Logout-Label','Sair',getdate(),getdate(),2)</v>
      </c>
    </row>
    <row r="296" spans="1:6">
      <c r="A296">
        <v>2298</v>
      </c>
      <c r="B296" s="2">
        <v>2</v>
      </c>
      <c r="C296" t="str">
        <f t="shared" si="16"/>
        <v>'2298'</v>
      </c>
      <c r="D296" t="str">
        <f>$N$1 &amp; "AlterProfileImage-Description" &amp; $N$1</f>
        <v>'AlterProfileImage-Description'</v>
      </c>
      <c r="E296" t="str">
        <f>$N$1 &amp; "Arraste aqui o arquivo que deseja, ou clique no botão acima para navegar." &amp; $N$1</f>
        <v>'Arraste aqui o arquivo que deseja, ou clique no botão acima para navegar.'</v>
      </c>
      <c r="F296" t="str">
        <f t="shared" si="13"/>
        <v>insert into sysLocalizationText Values(2298,'2298','AlterProfileImage-Description','Arraste aqui o arquivo que deseja, ou clique no botão acima para navegar.',getdate(),getdate(),2)</v>
      </c>
    </row>
    <row r="297" spans="1:6">
      <c r="A297">
        <v>2299</v>
      </c>
      <c r="B297" s="2">
        <v>2</v>
      </c>
      <c r="C297" t="str">
        <f t="shared" ref="C297:C327" si="18">"'" &amp; A297 &amp; "'"</f>
        <v>'2299'</v>
      </c>
      <c r="D297" t="str">
        <f>$N$1 &amp; "Menu-Superadmin" &amp; $N$1</f>
        <v>'Menu-Superadmin'</v>
      </c>
      <c r="E297" t="str">
        <f>$N$1 &amp; "Super Admin" &amp; $N$1</f>
        <v>'Super Admin'</v>
      </c>
      <c r="F297" t="str">
        <f t="shared" si="13"/>
        <v>insert into sysLocalizationText Values(2299,'2299','Menu-Superadmin','Super Admin',getdate(),getdate(),2)</v>
      </c>
    </row>
    <row r="298" spans="1:6">
      <c r="A298">
        <v>2300</v>
      </c>
      <c r="B298" s="2">
        <v>2</v>
      </c>
      <c r="C298" t="str">
        <f t="shared" si="18"/>
        <v>'2300'</v>
      </c>
      <c r="D298" t="str">
        <f>$N$1 &amp; "Menu-Configs" &amp; $N$1</f>
        <v>'Menu-Configs'</v>
      </c>
      <c r="E298" t="str">
        <f>$N$1 &amp; "Configs de Negócio" &amp; $N$1</f>
        <v>'Configs de Negócio'</v>
      </c>
      <c r="F298" t="str">
        <f t="shared" si="13"/>
        <v>insert into sysLocalizationText Values(2300,'2300','Menu-Configs','Configs de Negócio',getdate(),getdate(),2)</v>
      </c>
    </row>
    <row r="299" spans="1:6">
      <c r="A299">
        <v>2301</v>
      </c>
      <c r="B299" s="2">
        <v>2</v>
      </c>
      <c r="C299" t="str">
        <f t="shared" si="18"/>
        <v>'2301'</v>
      </c>
      <c r="D299" t="str">
        <f>$N$1 &amp; "Menu-Instance" &amp; $N$1</f>
        <v>'Menu-Instance'</v>
      </c>
      <c r="E299" t="str">
        <f>$N$1 &amp; "Instâncias" &amp; $N$1</f>
        <v>'Instâncias'</v>
      </c>
      <c r="F299" t="str">
        <f t="shared" si="13"/>
        <v>insert into sysLocalizationText Values(2301,'2301','Menu-Instance','Instâncias',getdate(),getdate(),2)</v>
      </c>
    </row>
    <row r="300" spans="1:6">
      <c r="A300">
        <v>2302</v>
      </c>
      <c r="B300" s="2">
        <v>2</v>
      </c>
      <c r="C300" t="str">
        <f t="shared" si="18"/>
        <v>'2302'</v>
      </c>
      <c r="D300" t="str">
        <f>$N$1 &amp; "Menu-Roles" &amp; $N$1</f>
        <v>'Menu-Roles'</v>
      </c>
      <c r="E300" t="str">
        <f>$N$1 &amp; "Roles" &amp; $N$1</f>
        <v>'Roles'</v>
      </c>
      <c r="F300" t="str">
        <f t="shared" si="13"/>
        <v>insert into sysLocalizationText Values(2302,'2302','Menu-Roles','Roles',getdate(),getdate(),2)</v>
      </c>
    </row>
    <row r="301" spans="1:6">
      <c r="A301">
        <v>2303</v>
      </c>
      <c r="B301" s="2">
        <v>2</v>
      </c>
      <c r="C301" t="str">
        <f t="shared" si="18"/>
        <v>'2303'</v>
      </c>
      <c r="D301" t="str">
        <f>$N$1 &amp; "Menu-ObjectPermissions" &amp; $N$1</f>
        <v>'Menu-ObjectPermissions'</v>
      </c>
      <c r="E301" t="str">
        <f>$N$1 &amp; "Objetos de Permissões" &amp; $N$1</f>
        <v>'Objetos de Permissões'</v>
      </c>
      <c r="F301" t="str">
        <f t="shared" si="13"/>
        <v>insert into sysLocalizationText Values(2303,'2303','Menu-ObjectPermissions','Objetos de Permissões',getdate(),getdate(),2)</v>
      </c>
    </row>
    <row r="302" spans="1:6">
      <c r="A302">
        <v>2304</v>
      </c>
      <c r="B302" s="2">
        <v>2</v>
      </c>
      <c r="C302" t="str">
        <f t="shared" si="18"/>
        <v>'2304'</v>
      </c>
      <c r="D302" t="str">
        <f>$N$1 &amp; "Menu-Permissions" &amp; $N$1</f>
        <v>'Menu-Permissions'</v>
      </c>
      <c r="E302" t="str">
        <f>$N$1 &amp; "Permissões" &amp; $N$1</f>
        <v>'Permissões'</v>
      </c>
      <c r="F302" t="str">
        <f t="shared" si="13"/>
        <v>insert into sysLocalizationText Values(2304,'2304','Menu-Permissions','Permissões',getdate(),getdate(),2)</v>
      </c>
    </row>
    <row r="303" spans="1:6">
      <c r="A303">
        <v>2305</v>
      </c>
      <c r="B303" s="2">
        <v>2</v>
      </c>
      <c r="C303" t="str">
        <f t="shared" si="18"/>
        <v>'2305'</v>
      </c>
      <c r="D303" t="str">
        <f>$N$1 &amp; "Menu-Users" &amp; $N$1</f>
        <v>'Menu-Users'</v>
      </c>
      <c r="E303" t="str">
        <f>$N$1 &amp; "Usuários" &amp; $N$1</f>
        <v>'Usuários'</v>
      </c>
      <c r="F303" t="str">
        <f t="shared" si="13"/>
        <v>insert into sysLocalizationText Values(2305,'2305','Menu-Users','Usuários',getdate(),getdate(),2)</v>
      </c>
    </row>
    <row r="304" spans="1:6">
      <c r="A304">
        <v>2306</v>
      </c>
      <c r="B304" s="2">
        <v>2</v>
      </c>
      <c r="C304" t="str">
        <f t="shared" si="18"/>
        <v>'2306'</v>
      </c>
      <c r="D304" t="str">
        <f>$N$1 &amp; "Menu-LocalizationTexts" &amp; $N$1</f>
        <v>'Menu-LocalizationTexts'</v>
      </c>
      <c r="E304" t="str">
        <f>$N$1 &amp; "Textos de Localização" &amp; $N$1</f>
        <v>'Textos de Localização'</v>
      </c>
      <c r="F304" t="str">
        <f t="shared" si="13"/>
        <v>insert into sysLocalizationText Values(2306,'2306','Menu-LocalizationTexts','Textos de Localização',getdate(),getdate(),2)</v>
      </c>
    </row>
    <row r="305" spans="1:6">
      <c r="A305">
        <v>2307</v>
      </c>
      <c r="B305" s="2">
        <v>2</v>
      </c>
      <c r="C305" t="str">
        <f t="shared" si="18"/>
        <v>'2307'</v>
      </c>
      <c r="D305" t="str">
        <f>$N$1 &amp; "Menu-GroupParameters" &amp; $N$1</f>
        <v>'Menu-GroupParameters'</v>
      </c>
      <c r="E305" t="str">
        <f>$N$1 &amp; "Grupo de Parâmetros" &amp; $N$1</f>
        <v>'Grupo de Parâmetros'</v>
      </c>
      <c r="F305" t="str">
        <f t="shared" si="13"/>
        <v>insert into sysLocalizationText Values(2307,'2307','Menu-GroupParameters','Grupo de Parâmetros',getdate(),getdate(),2)</v>
      </c>
    </row>
    <row r="306" spans="1:6">
      <c r="A306">
        <v>2308</v>
      </c>
      <c r="B306" s="2">
        <v>2</v>
      </c>
      <c r="C306" t="str">
        <f t="shared" si="18"/>
        <v>'2308'</v>
      </c>
      <c r="D306" t="str">
        <f>$N$1 &amp; "Menu-Parameters" &amp; $N$1</f>
        <v>'Menu-Parameters'</v>
      </c>
      <c r="E306" t="str">
        <f>$N$1 &amp; "Parâmetros" &amp; $N$1</f>
        <v>'Parâmetros'</v>
      </c>
      <c r="F306" t="str">
        <f t="shared" si="13"/>
        <v>insert into sysLocalizationText Values(2308,'2308','Menu-Parameters','Parâmetros',getdate(),getdate(),2)</v>
      </c>
    </row>
    <row r="307" spans="1:6">
      <c r="A307">
        <v>2309</v>
      </c>
      <c r="B307" s="2">
        <v>2</v>
      </c>
      <c r="C307" t="str">
        <f t="shared" si="18"/>
        <v>'2309'</v>
      </c>
      <c r="D307" t="str">
        <f>$N$1 &amp; "Menu-Monitoring" &amp; $N$1</f>
        <v>'Menu-Monitoring'</v>
      </c>
      <c r="E307" t="str">
        <f>$N$1 &amp; "Monitoramento" &amp; $N$1</f>
        <v>'Monitoramento'</v>
      </c>
      <c r="F307" t="str">
        <f t="shared" si="13"/>
        <v>insert into sysLocalizationText Values(2309,'2309','Menu-Monitoring','Monitoramento',getdate(),getdate(),2)</v>
      </c>
    </row>
    <row r="308" spans="1:6">
      <c r="A308">
        <v>2310</v>
      </c>
      <c r="B308" s="2">
        <v>2</v>
      </c>
      <c r="C308" t="str">
        <f t="shared" si="18"/>
        <v>'2310'</v>
      </c>
      <c r="D308" t="str">
        <f>$N$1 &amp; "Menu-SessionLog" &amp; $N$1</f>
        <v>'Menu-SessionLog'</v>
      </c>
      <c r="E308" t="str">
        <f>$N$1 &amp; "Logs de Acessos" &amp; $N$1</f>
        <v>'Logs de Acessos'</v>
      </c>
      <c r="F308" t="str">
        <f t="shared" si="13"/>
        <v>insert into sysLocalizationText Values(2310,'2310','Menu-SessionLog','Logs de Acessos',getdate(),getdate(),2)</v>
      </c>
    </row>
    <row r="309" spans="1:6">
      <c r="A309">
        <v>2311</v>
      </c>
      <c r="B309" s="2">
        <v>2</v>
      </c>
      <c r="C309" t="str">
        <f t="shared" si="18"/>
        <v>'2311'</v>
      </c>
      <c r="D309" t="str">
        <f>$N$1 &amp; "Menu-DataLog" &amp; $N$1</f>
        <v>'Menu-DataLog'</v>
      </c>
      <c r="E309" t="str">
        <f>$N$1 &amp; "Logs de Dados" &amp; $N$1</f>
        <v>'Logs de Dados'</v>
      </c>
      <c r="F309" t="str">
        <f t="shared" si="13"/>
        <v>insert into sysLocalizationText Values(2311,'2311','Menu-DataLog','Logs de Dados',getdate(),getdate(),2)</v>
      </c>
    </row>
    <row r="310" spans="1:6">
      <c r="A310">
        <v>2312</v>
      </c>
      <c r="B310" s="2">
        <v>2</v>
      </c>
      <c r="C310" t="str">
        <f t="shared" si="18"/>
        <v>'2312'</v>
      </c>
      <c r="D310" t="str">
        <f>$N$1 &amp; "Menu-ExceptionLog" &amp; $N$1</f>
        <v>'Menu-ExceptionLog'</v>
      </c>
      <c r="E310" t="str">
        <f>$N$1 &amp; "Logs de Erros" &amp; $N$1</f>
        <v>'Logs de Erros'</v>
      </c>
      <c r="F310" t="str">
        <f t="shared" si="13"/>
        <v>insert into sysLocalizationText Values(2312,'2312','Menu-ExceptionLog','Logs de Erros',getdate(),getdate(),2)</v>
      </c>
    </row>
    <row r="311" spans="1:6">
      <c r="A311">
        <v>2313</v>
      </c>
      <c r="B311" s="2">
        <v>2</v>
      </c>
      <c r="C311" t="str">
        <f t="shared" si="18"/>
        <v>'2313'</v>
      </c>
      <c r="D311" t="str">
        <f>$N$1 &amp; "Editing-Label" &amp; $N$1</f>
        <v>'Editing-Label'</v>
      </c>
      <c r="E311" t="str">
        <f>$N$1 &amp; "Editando" &amp; $N$1</f>
        <v>'Editando'</v>
      </c>
      <c r="F311" t="str">
        <f t="shared" si="13"/>
        <v>insert into sysLocalizationText Values(2313,'2313','Editing-Label','Editando',getdate(),getdate(),2)</v>
      </c>
    </row>
    <row r="312" spans="1:6">
      <c r="A312">
        <v>2314</v>
      </c>
      <c r="B312" s="2">
        <v>2</v>
      </c>
      <c r="C312" t="str">
        <f t="shared" si="18"/>
        <v>'2314'</v>
      </c>
      <c r="D312" t="str">
        <f>$N$1 &amp; "Inserting-Label" &amp; $N$1</f>
        <v>'Inserting-Label'</v>
      </c>
      <c r="E312" t="str">
        <f>$N$1 &amp; "Inserindo" &amp; $N$1</f>
        <v>'Inserindo'</v>
      </c>
      <c r="F312" t="str">
        <f t="shared" si="13"/>
        <v>insert into sysLocalizationText Values(2314,'2314','Inserting-Label','Inserindo',getdate(),getdate(),2)</v>
      </c>
    </row>
    <row r="313" spans="1:6">
      <c r="A313">
        <v>2315</v>
      </c>
      <c r="B313" s="2">
        <v>2</v>
      </c>
      <c r="C313" t="str">
        <f t="shared" si="18"/>
        <v>'2315'</v>
      </c>
      <c r="D313" t="str">
        <f>$N$1 &amp; "RemoveConfirmation-Label" &amp; $N$1</f>
        <v>'RemoveConfirmation-Label'</v>
      </c>
      <c r="E313" t="str">
        <f>$N$1 &amp; "Deseja realmente remover este registro?" &amp; $N$1</f>
        <v>'Deseja realmente remover este registro?'</v>
      </c>
      <c r="F313" t="str">
        <f t="shared" si="13"/>
        <v>insert into sysLocalizationText Values(2315,'2315','RemoveConfirmation-Label','Deseja realmente remover este registro?',getdate(),getdate(),2)</v>
      </c>
    </row>
    <row r="314" spans="1:6">
      <c r="A314">
        <v>2316</v>
      </c>
      <c r="B314" s="2">
        <v>2</v>
      </c>
      <c r="C314" t="str">
        <f t="shared" si="18"/>
        <v>'2316'</v>
      </c>
      <c r="D314" t="str">
        <f>$N$1 &amp; "RemoveConfirmation-Message" &amp; $N$1</f>
        <v>'RemoveConfirmation-Message'</v>
      </c>
      <c r="E314" t="str">
        <f>$N$1 &amp; "O registro foi removido com sucesso." &amp; $N$1</f>
        <v>'O registro foi removido com sucesso.'</v>
      </c>
      <c r="F314" t="str">
        <f t="shared" si="13"/>
        <v>insert into sysLocalizationText Values(2316,'2316','RemoveConfirmation-Message','O registro foi removido com sucesso.',getdate(),getdate(),2)</v>
      </c>
    </row>
    <row r="315" spans="1:6">
      <c r="A315">
        <v>2317</v>
      </c>
      <c r="B315" s="2">
        <v>2</v>
      </c>
      <c r="C315" t="str">
        <f t="shared" si="18"/>
        <v>'2317'</v>
      </c>
      <c r="D315" t="str">
        <f>$N$1 &amp; "AllowRead-Label" &amp; $N$1</f>
        <v>'AllowRead-Label'</v>
      </c>
      <c r="E315" t="str">
        <f>$N$1 &amp; "Ler" &amp; $N$1</f>
        <v>'Ler'</v>
      </c>
      <c r="F315" t="str">
        <f t="shared" si="13"/>
        <v>insert into sysLocalizationText Values(2317,'2317','AllowRead-Label','Ler',getdate(),getdate(),2)</v>
      </c>
    </row>
    <row r="316" spans="1:6">
      <c r="A316">
        <v>2318</v>
      </c>
      <c r="B316" s="2">
        <v>2</v>
      </c>
      <c r="C316" t="str">
        <f t="shared" si="18"/>
        <v>'2318'</v>
      </c>
      <c r="D316" t="str">
        <f>$N$1 &amp; "AllowSave-Label" &amp; $N$1</f>
        <v>'AllowSave-Label'</v>
      </c>
      <c r="E316" t="str">
        <f>$N$1 &amp; "Salvar" &amp; $N$1</f>
        <v>'Salvar'</v>
      </c>
      <c r="F316" t="str">
        <f t="shared" si="13"/>
        <v>insert into sysLocalizationText Values(2318,'2318','AllowSave-Label','Salvar',getdate(),getdate(),2)</v>
      </c>
    </row>
    <row r="317" spans="1:6">
      <c r="A317">
        <v>2319</v>
      </c>
      <c r="B317" s="2">
        <v>2</v>
      </c>
      <c r="C317" t="str">
        <f t="shared" si="18"/>
        <v>'2319'</v>
      </c>
      <c r="D317" t="str">
        <f>$N$1 &amp; "AllowDelete-Label" &amp; $N$1</f>
        <v>'AllowDelete-Label'</v>
      </c>
      <c r="E317" t="str">
        <f>$N$1 &amp; "Remover" &amp; $N$1</f>
        <v>'Remover'</v>
      </c>
      <c r="F317" t="str">
        <f t="shared" si="13"/>
        <v>insert into sysLocalizationText Values(2319,'2319','AllowDelete-Label','Remover',getdate(),getdate(),2)</v>
      </c>
    </row>
    <row r="318" spans="1:6">
      <c r="A318">
        <v>2320</v>
      </c>
      <c r="B318" s="2">
        <v>2</v>
      </c>
      <c r="C318" t="str">
        <f t="shared" si="18"/>
        <v>'2320'</v>
      </c>
      <c r="D318" t="str">
        <f>$N$1 &amp; "InsertOperation-Text" &amp; $N$1</f>
        <v>'InsertOperation-Text'</v>
      </c>
      <c r="E318" t="str">
        <f>$N$1 &amp; "Inserção" &amp; $N$1</f>
        <v>'Inserção'</v>
      </c>
      <c r="F318" t="str">
        <f t="shared" si="13"/>
        <v>insert into sysLocalizationText Values(2320,'2320','InsertOperation-Text','Inserção',getdate(),getdate(),2)</v>
      </c>
    </row>
    <row r="319" spans="1:6">
      <c r="A319">
        <v>2321</v>
      </c>
      <c r="B319" s="2">
        <v>2</v>
      </c>
      <c r="C319" t="str">
        <f t="shared" si="18"/>
        <v>'2321'</v>
      </c>
      <c r="D319" t="str">
        <f>$N$1 &amp; "UpdateOperation-Text" &amp; $N$1</f>
        <v>'UpdateOperation-Text'</v>
      </c>
      <c r="E319" t="str">
        <f>$N$1 &amp; "Edição" &amp; $N$1</f>
        <v>'Edição'</v>
      </c>
      <c r="F319" t="str">
        <f t="shared" si="13"/>
        <v>insert into sysLocalizationText Values(2321,'2321','UpdateOperation-Text','Edição',getdate(),getdate(),2)</v>
      </c>
    </row>
    <row r="320" spans="1:6">
      <c r="A320">
        <v>2322</v>
      </c>
      <c r="B320" s="2">
        <v>2</v>
      </c>
      <c r="C320" t="str">
        <f t="shared" si="18"/>
        <v>'2322'</v>
      </c>
      <c r="D320" t="str">
        <f>$N$1 &amp; "DeleteOperation-Text" &amp; $N$1</f>
        <v>'DeleteOperation-Text'</v>
      </c>
      <c r="E320" t="str">
        <f>$N$1 &amp; "Exclusão" &amp; $N$1</f>
        <v>'Exclusão'</v>
      </c>
      <c r="F320" t="str">
        <f t="shared" si="13"/>
        <v>insert into sysLocalizationText Values(2322,'2322','DeleteOperation-Text','Exclusão',getdate(),getdate(),2)</v>
      </c>
    </row>
    <row r="321" spans="1:6">
      <c r="A321">
        <v>2323</v>
      </c>
      <c r="B321" s="2">
        <v>2</v>
      </c>
      <c r="C321" t="str">
        <f t="shared" si="18"/>
        <v>'2323'</v>
      </c>
      <c r="D321" t="str">
        <f>$N$1 &amp; "NewLanguage-Label" &amp; $N$1</f>
        <v>'NewLanguage-Label'</v>
      </c>
      <c r="E321" t="str">
        <f>$N$1 &amp; "Nova Linguagem" &amp; $N$1</f>
        <v>'Nova Linguagem'</v>
      </c>
      <c r="F321" t="str">
        <f t="shared" si="13"/>
        <v>insert into sysLocalizationText Values(2323,'2323','NewLanguage-Label','Nova Linguagem',getdate(),getdate(),2)</v>
      </c>
    </row>
    <row r="322" spans="1:6">
      <c r="A322">
        <v>2324</v>
      </c>
      <c r="B322" s="2">
        <v>2</v>
      </c>
      <c r="C322" t="str">
        <f t="shared" si="18"/>
        <v>'2324'</v>
      </c>
      <c r="D322" t="str">
        <f>$N$1 &amp; "SaveLanguageButton-Label" &amp; $N$1</f>
        <v>'SaveLanguageButton-Label'</v>
      </c>
      <c r="E322" t="str">
        <f>$N$1 &amp; "Salvar Linguagem" &amp; $N$1</f>
        <v>'Salvar Linguagem'</v>
      </c>
      <c r="F322" t="str">
        <f t="shared" ref="F322:F327" si="19">"insert into sysLocalizationText Values(" &amp;A322 &amp; "," &amp;C322 &amp; "," &amp; D322 &amp; "," &amp; E322 &amp; ",getdate(),getdate()," &amp; B322 &amp; ")"</f>
        <v>insert into sysLocalizationText Values(2324,'2324','SaveLanguageButton-Label','Salvar Linguagem',getdate(),getdate(),2)</v>
      </c>
    </row>
    <row r="323" spans="1:6">
      <c r="A323">
        <v>2325</v>
      </c>
      <c r="B323" s="2">
        <v>2</v>
      </c>
      <c r="C323" t="str">
        <f t="shared" si="18"/>
        <v>'2325'</v>
      </c>
      <c r="D323" t="str">
        <f>$N$1 &amp; "SearchByLanguageName-Label" &amp; $N$1</f>
        <v>'SearchByLanguageName-Label'</v>
      </c>
      <c r="E323" t="str">
        <f>$N$1 &amp; "Por Nome da Linguagem" &amp; $N$1</f>
        <v>'Por Nome da Linguagem'</v>
      </c>
      <c r="F323" t="str">
        <f t="shared" si="19"/>
        <v>insert into sysLocalizationText Values(2325,'2325','SearchByLanguageName-Label','Por Nome da Linguagem',getdate(),getdate(),2)</v>
      </c>
    </row>
    <row r="324" spans="1:6">
      <c r="A324">
        <v>2326</v>
      </c>
      <c r="B324" s="2">
        <v>2</v>
      </c>
      <c r="C324" t="str">
        <f t="shared" si="18"/>
        <v>'2326'</v>
      </c>
      <c r="D324" t="str">
        <f>$N$1 &amp; "LanguageName-Label" &amp; $N$1</f>
        <v>'LanguageName-Label'</v>
      </c>
      <c r="E324" t="str">
        <f>$N$1 &amp; "Nome da Linguagem" &amp; $N$1</f>
        <v>'Nome da Linguagem'</v>
      </c>
      <c r="F324" t="str">
        <f t="shared" si="19"/>
        <v>insert into sysLocalizationText Values(2326,'2326','LanguageName-Label','Nome da Linguagem',getdate(),getdate(),2)</v>
      </c>
    </row>
    <row r="325" spans="1:6">
      <c r="A325">
        <v>2327</v>
      </c>
      <c r="B325" s="2">
        <v>2</v>
      </c>
      <c r="C325" t="str">
        <f t="shared" si="18"/>
        <v>'2327'</v>
      </c>
      <c r="D325" t="str">
        <f>$N$1 &amp; "Description-Label" &amp; $N$1</f>
        <v>'Description-Label'</v>
      </c>
      <c r="E325" t="str">
        <f>$N$1 &amp; "Descrição" &amp; $N$1</f>
        <v>'Descrição'</v>
      </c>
      <c r="F325" t="str">
        <f t="shared" si="19"/>
        <v>insert into sysLocalizationText Values(2327,'2327','Description-Label','Descrição',getdate(),getdate(),2)</v>
      </c>
    </row>
    <row r="326" spans="1:6">
      <c r="A326">
        <v>2328</v>
      </c>
      <c r="B326" s="2">
        <v>2</v>
      </c>
      <c r="C326" t="str">
        <f t="shared" si="18"/>
        <v>'2328'</v>
      </c>
      <c r="D326" t="str">
        <f>$N$1 &amp; "Language-PageTitle" &amp; $N$1</f>
        <v>'Language-PageTitle'</v>
      </c>
      <c r="E326" t="str">
        <f>$N$1 &amp; "Linguagem" &amp; $N$1</f>
        <v>'Linguagem'</v>
      </c>
      <c r="F326" t="str">
        <f t="shared" si="19"/>
        <v>insert into sysLocalizationText Values(2328,'2328','Language-PageTitle','Linguagem',getdate(),getdate(),2)</v>
      </c>
    </row>
    <row r="327" spans="1:6">
      <c r="A327">
        <v>2329</v>
      </c>
      <c r="B327" s="2">
        <v>2</v>
      </c>
      <c r="C327" t="str">
        <f t="shared" si="18"/>
        <v>'2329'</v>
      </c>
      <c r="D327" t="str">
        <f>$N$1 &amp; "Menu-Language" &amp; $N$1</f>
        <v>'Menu-Language'</v>
      </c>
      <c r="E327" t="str">
        <f>$N$1 &amp; "Linguagens" &amp; $N$1</f>
        <v>'Linguagens'</v>
      </c>
      <c r="F327" t="str">
        <f t="shared" si="19"/>
        <v>insert into sysLocalizationText Values(2329,'2329','Menu-Language','Linguagens',getdate(),getdate(),2)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"/>
  <sheetViews>
    <sheetView topLeftCell="A16" workbookViewId="0">
      <selection sqref="A1:A50"/>
    </sheetView>
  </sheetViews>
  <sheetFormatPr defaultRowHeight="15"/>
  <cols>
    <col min="1" max="1" width="11.85546875" customWidth="1"/>
  </cols>
  <sheetData>
    <row r="1" spans="1:2">
      <c r="A1">
        <v>2001</v>
      </c>
      <c r="B1" t="str">
        <f t="shared" ref="B1:B32" si="0">"'" &amp; A1 &amp; "'"</f>
        <v>'2001'</v>
      </c>
    </row>
    <row r="2" spans="1:2">
      <c r="A2">
        <v>2002</v>
      </c>
      <c r="B2" t="str">
        <f t="shared" si="0"/>
        <v>'2002'</v>
      </c>
    </row>
    <row r="3" spans="1:2">
      <c r="A3">
        <v>2003</v>
      </c>
      <c r="B3" t="str">
        <f t="shared" si="0"/>
        <v>'2003'</v>
      </c>
    </row>
    <row r="4" spans="1:2">
      <c r="A4">
        <v>2004</v>
      </c>
      <c r="B4" t="str">
        <f t="shared" si="0"/>
        <v>'2004'</v>
      </c>
    </row>
    <row r="5" spans="1:2">
      <c r="A5">
        <v>2005</v>
      </c>
      <c r="B5" t="str">
        <f t="shared" si="0"/>
        <v>'2005'</v>
      </c>
    </row>
    <row r="6" spans="1:2">
      <c r="A6">
        <v>2006</v>
      </c>
      <c r="B6" t="str">
        <f t="shared" si="0"/>
        <v>'2006'</v>
      </c>
    </row>
    <row r="7" spans="1:2">
      <c r="A7">
        <v>2007</v>
      </c>
      <c r="B7" t="str">
        <f t="shared" si="0"/>
        <v>'2007'</v>
      </c>
    </row>
    <row r="8" spans="1:2">
      <c r="A8">
        <v>2008</v>
      </c>
      <c r="B8" t="str">
        <f t="shared" si="0"/>
        <v>'2008'</v>
      </c>
    </row>
    <row r="9" spans="1:2">
      <c r="A9">
        <v>2009</v>
      </c>
      <c r="B9" t="str">
        <f t="shared" si="0"/>
        <v>'2009'</v>
      </c>
    </row>
    <row r="10" spans="1:2">
      <c r="A10">
        <v>2010</v>
      </c>
      <c r="B10" t="str">
        <f t="shared" si="0"/>
        <v>'2010'</v>
      </c>
    </row>
    <row r="11" spans="1:2">
      <c r="A11">
        <v>2011</v>
      </c>
      <c r="B11" t="str">
        <f t="shared" si="0"/>
        <v>'2011'</v>
      </c>
    </row>
    <row r="12" spans="1:2">
      <c r="A12">
        <v>2012</v>
      </c>
      <c r="B12" t="str">
        <f t="shared" si="0"/>
        <v>'2012'</v>
      </c>
    </row>
    <row r="13" spans="1:2">
      <c r="A13">
        <v>2013</v>
      </c>
      <c r="B13" t="str">
        <f t="shared" si="0"/>
        <v>'2013'</v>
      </c>
    </row>
    <row r="14" spans="1:2">
      <c r="A14">
        <v>2014</v>
      </c>
      <c r="B14" t="str">
        <f t="shared" si="0"/>
        <v>'2014'</v>
      </c>
    </row>
    <row r="15" spans="1:2">
      <c r="A15">
        <v>2015</v>
      </c>
      <c r="B15" t="str">
        <f t="shared" si="0"/>
        <v>'2015'</v>
      </c>
    </row>
    <row r="16" spans="1:2">
      <c r="A16">
        <v>2016</v>
      </c>
      <c r="B16" t="str">
        <f t="shared" si="0"/>
        <v>'2016'</v>
      </c>
    </row>
    <row r="17" spans="1:2">
      <c r="A17">
        <v>2017</v>
      </c>
      <c r="B17" t="str">
        <f t="shared" si="0"/>
        <v>'2017'</v>
      </c>
    </row>
    <row r="18" spans="1:2">
      <c r="A18">
        <v>2018</v>
      </c>
      <c r="B18" t="str">
        <f t="shared" si="0"/>
        <v>'2018'</v>
      </c>
    </row>
    <row r="19" spans="1:2">
      <c r="A19">
        <v>2019</v>
      </c>
      <c r="B19" t="str">
        <f t="shared" si="0"/>
        <v>'2019'</v>
      </c>
    </row>
    <row r="20" spans="1:2">
      <c r="A20">
        <v>2020</v>
      </c>
      <c r="B20" t="str">
        <f t="shared" si="0"/>
        <v>'2020'</v>
      </c>
    </row>
    <row r="21" spans="1:2">
      <c r="A21">
        <v>2021</v>
      </c>
      <c r="B21" t="str">
        <f t="shared" si="0"/>
        <v>'2021'</v>
      </c>
    </row>
    <row r="22" spans="1:2">
      <c r="A22">
        <v>2022</v>
      </c>
      <c r="B22" t="str">
        <f t="shared" si="0"/>
        <v>'2022'</v>
      </c>
    </row>
    <row r="23" spans="1:2">
      <c r="A23">
        <v>2023</v>
      </c>
      <c r="B23" t="str">
        <f t="shared" si="0"/>
        <v>'2023'</v>
      </c>
    </row>
    <row r="24" spans="1:2">
      <c r="A24">
        <v>2024</v>
      </c>
      <c r="B24" t="str">
        <f t="shared" si="0"/>
        <v>'2024'</v>
      </c>
    </row>
    <row r="25" spans="1:2">
      <c r="A25">
        <v>2025</v>
      </c>
      <c r="B25" t="str">
        <f t="shared" si="0"/>
        <v>'2025'</v>
      </c>
    </row>
    <row r="26" spans="1:2">
      <c r="A26">
        <v>2026</v>
      </c>
      <c r="B26" t="str">
        <f t="shared" si="0"/>
        <v>'2026'</v>
      </c>
    </row>
    <row r="27" spans="1:2">
      <c r="A27">
        <v>2027</v>
      </c>
      <c r="B27" t="str">
        <f t="shared" si="0"/>
        <v>'2027'</v>
      </c>
    </row>
    <row r="28" spans="1:2">
      <c r="A28">
        <v>2028</v>
      </c>
      <c r="B28" t="str">
        <f t="shared" si="0"/>
        <v>'2028'</v>
      </c>
    </row>
    <row r="29" spans="1:2">
      <c r="A29">
        <v>2029</v>
      </c>
      <c r="B29" t="str">
        <f t="shared" si="0"/>
        <v>'2029'</v>
      </c>
    </row>
    <row r="30" spans="1:2">
      <c r="A30">
        <v>2030</v>
      </c>
      <c r="B30" t="str">
        <f t="shared" si="0"/>
        <v>'2030'</v>
      </c>
    </row>
    <row r="31" spans="1:2">
      <c r="A31">
        <v>2031</v>
      </c>
      <c r="B31" t="str">
        <f t="shared" si="0"/>
        <v>'2031'</v>
      </c>
    </row>
    <row r="32" spans="1:2">
      <c r="A32">
        <v>2032</v>
      </c>
      <c r="B32" t="str">
        <f t="shared" si="0"/>
        <v>'2032'</v>
      </c>
    </row>
    <row r="33" spans="1:2">
      <c r="A33">
        <v>2033</v>
      </c>
      <c r="B33" t="str">
        <f t="shared" ref="B33:B50" si="1">"'" &amp; A33 &amp; "'"</f>
        <v>'2033'</v>
      </c>
    </row>
    <row r="34" spans="1:2">
      <c r="A34">
        <v>2034</v>
      </c>
      <c r="B34" t="str">
        <f t="shared" si="1"/>
        <v>'2034'</v>
      </c>
    </row>
    <row r="35" spans="1:2">
      <c r="A35">
        <v>2035</v>
      </c>
      <c r="B35" t="str">
        <f t="shared" si="1"/>
        <v>'2035'</v>
      </c>
    </row>
    <row r="36" spans="1:2">
      <c r="A36">
        <v>2036</v>
      </c>
      <c r="B36" t="str">
        <f t="shared" si="1"/>
        <v>'2036'</v>
      </c>
    </row>
    <row r="37" spans="1:2">
      <c r="A37">
        <v>2037</v>
      </c>
      <c r="B37" t="str">
        <f t="shared" si="1"/>
        <v>'2037'</v>
      </c>
    </row>
    <row r="38" spans="1:2">
      <c r="A38">
        <v>2038</v>
      </c>
      <c r="B38" t="str">
        <f t="shared" si="1"/>
        <v>'2038'</v>
      </c>
    </row>
    <row r="39" spans="1:2">
      <c r="A39">
        <v>2039</v>
      </c>
      <c r="B39" t="str">
        <f t="shared" si="1"/>
        <v>'2039'</v>
      </c>
    </row>
    <row r="40" spans="1:2">
      <c r="A40">
        <v>2040</v>
      </c>
      <c r="B40" t="str">
        <f t="shared" si="1"/>
        <v>'2040'</v>
      </c>
    </row>
    <row r="41" spans="1:2">
      <c r="A41">
        <v>2041</v>
      </c>
      <c r="B41" t="str">
        <f t="shared" si="1"/>
        <v>'2041'</v>
      </c>
    </row>
    <row r="42" spans="1:2">
      <c r="A42">
        <v>2042</v>
      </c>
      <c r="B42" t="str">
        <f t="shared" si="1"/>
        <v>'2042'</v>
      </c>
    </row>
    <row r="43" spans="1:2">
      <c r="A43">
        <v>2043</v>
      </c>
      <c r="B43" t="str">
        <f t="shared" si="1"/>
        <v>'2043'</v>
      </c>
    </row>
    <row r="44" spans="1:2">
      <c r="A44">
        <v>2044</v>
      </c>
      <c r="B44" t="str">
        <f t="shared" si="1"/>
        <v>'2044'</v>
      </c>
    </row>
    <row r="45" spans="1:2">
      <c r="A45">
        <v>2045</v>
      </c>
      <c r="B45" t="str">
        <f t="shared" si="1"/>
        <v>'2045'</v>
      </c>
    </row>
    <row r="46" spans="1:2">
      <c r="A46">
        <v>2046</v>
      </c>
      <c r="B46" t="str">
        <f t="shared" si="1"/>
        <v>'2046'</v>
      </c>
    </row>
    <row r="47" spans="1:2">
      <c r="A47">
        <v>2047</v>
      </c>
      <c r="B47" t="str">
        <f t="shared" si="1"/>
        <v>'2047'</v>
      </c>
    </row>
    <row r="48" spans="1:2">
      <c r="A48">
        <v>2048</v>
      </c>
      <c r="B48" t="str">
        <f t="shared" si="1"/>
        <v>'2048'</v>
      </c>
    </row>
    <row r="49" spans="1:2">
      <c r="A49">
        <v>2049</v>
      </c>
      <c r="B49" t="str">
        <f t="shared" si="1"/>
        <v>'2049'</v>
      </c>
    </row>
    <row r="50" spans="1:2">
      <c r="A50">
        <v>2050</v>
      </c>
      <c r="B50" t="str">
        <f t="shared" si="1"/>
        <v>'2050'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4"/>
  <sheetViews>
    <sheetView workbookViewId="0">
      <selection activeCell="B38" sqref="B38"/>
    </sheetView>
  </sheetViews>
  <sheetFormatPr defaultRowHeight="15"/>
  <cols>
    <col min="1" max="1" width="15.5703125" customWidth="1"/>
    <col min="2" max="2" width="17" customWidth="1"/>
  </cols>
  <sheetData>
    <row r="1" spans="1:2">
      <c r="A1">
        <v>1001</v>
      </c>
      <c r="B1" t="str">
        <f t="shared" ref="B1:B32" si="0">"'" &amp; A1 &amp; "'"</f>
        <v>'1001'</v>
      </c>
    </row>
    <row r="2" spans="1:2">
      <c r="A2">
        <v>1002</v>
      </c>
      <c r="B2" t="str">
        <f t="shared" si="0"/>
        <v>'1002'</v>
      </c>
    </row>
    <row r="3" spans="1:2">
      <c r="A3">
        <v>1003</v>
      </c>
      <c r="B3" t="str">
        <f t="shared" si="0"/>
        <v>'1003'</v>
      </c>
    </row>
    <row r="4" spans="1:2">
      <c r="A4">
        <v>1004</v>
      </c>
      <c r="B4" t="str">
        <f t="shared" si="0"/>
        <v>'1004'</v>
      </c>
    </row>
    <row r="5" spans="1:2">
      <c r="A5">
        <v>1005</v>
      </c>
      <c r="B5" t="str">
        <f t="shared" si="0"/>
        <v>'1005'</v>
      </c>
    </row>
    <row r="6" spans="1:2">
      <c r="A6">
        <v>1006</v>
      </c>
      <c r="B6" t="str">
        <f t="shared" si="0"/>
        <v>'1006'</v>
      </c>
    </row>
    <row r="7" spans="1:2">
      <c r="A7">
        <v>1007</v>
      </c>
      <c r="B7" t="str">
        <f t="shared" si="0"/>
        <v>'1007'</v>
      </c>
    </row>
    <row r="8" spans="1:2">
      <c r="A8">
        <v>1008</v>
      </c>
      <c r="B8" t="str">
        <f t="shared" si="0"/>
        <v>'1008'</v>
      </c>
    </row>
    <row r="9" spans="1:2">
      <c r="A9">
        <v>1009</v>
      </c>
      <c r="B9" t="str">
        <f t="shared" si="0"/>
        <v>'1009'</v>
      </c>
    </row>
    <row r="10" spans="1:2">
      <c r="A10">
        <v>1010</v>
      </c>
      <c r="B10" t="str">
        <f t="shared" si="0"/>
        <v>'1010'</v>
      </c>
    </row>
    <row r="11" spans="1:2">
      <c r="A11">
        <v>1011</v>
      </c>
      <c r="B11" t="str">
        <f t="shared" si="0"/>
        <v>'1011'</v>
      </c>
    </row>
    <row r="12" spans="1:2">
      <c r="A12">
        <v>1012</v>
      </c>
      <c r="B12" t="str">
        <f t="shared" si="0"/>
        <v>'1012'</v>
      </c>
    </row>
    <row r="13" spans="1:2">
      <c r="A13">
        <v>1013</v>
      </c>
      <c r="B13" t="str">
        <f t="shared" si="0"/>
        <v>'1013'</v>
      </c>
    </row>
    <row r="14" spans="1:2">
      <c r="A14">
        <v>1014</v>
      </c>
      <c r="B14" t="str">
        <f t="shared" si="0"/>
        <v>'1014'</v>
      </c>
    </row>
    <row r="15" spans="1:2">
      <c r="A15">
        <v>1015</v>
      </c>
      <c r="B15" t="str">
        <f t="shared" si="0"/>
        <v>'1015'</v>
      </c>
    </row>
    <row r="16" spans="1:2">
      <c r="A16">
        <v>1016</v>
      </c>
      <c r="B16" t="str">
        <f t="shared" si="0"/>
        <v>'1016'</v>
      </c>
    </row>
    <row r="17" spans="1:2">
      <c r="A17">
        <v>1017</v>
      </c>
      <c r="B17" t="str">
        <f t="shared" si="0"/>
        <v>'1017'</v>
      </c>
    </row>
    <row r="18" spans="1:2">
      <c r="A18">
        <v>1018</v>
      </c>
      <c r="B18" t="str">
        <f t="shared" si="0"/>
        <v>'1018'</v>
      </c>
    </row>
    <row r="19" spans="1:2">
      <c r="A19">
        <v>1019</v>
      </c>
      <c r="B19" t="str">
        <f t="shared" si="0"/>
        <v>'1019'</v>
      </c>
    </row>
    <row r="20" spans="1:2">
      <c r="A20">
        <v>1020</v>
      </c>
      <c r="B20" t="str">
        <f t="shared" si="0"/>
        <v>'1020'</v>
      </c>
    </row>
    <row r="21" spans="1:2">
      <c r="A21">
        <v>1021</v>
      </c>
      <c r="B21" t="str">
        <f t="shared" si="0"/>
        <v>'1021'</v>
      </c>
    </row>
    <row r="22" spans="1:2">
      <c r="A22">
        <v>1022</v>
      </c>
      <c r="B22" t="str">
        <f t="shared" si="0"/>
        <v>'1022'</v>
      </c>
    </row>
    <row r="23" spans="1:2">
      <c r="A23">
        <v>1023</v>
      </c>
      <c r="B23" t="str">
        <f t="shared" si="0"/>
        <v>'1023'</v>
      </c>
    </row>
    <row r="24" spans="1:2">
      <c r="A24">
        <v>1024</v>
      </c>
      <c r="B24" t="str">
        <f t="shared" si="0"/>
        <v>'1024'</v>
      </c>
    </row>
    <row r="25" spans="1:2">
      <c r="A25">
        <v>1025</v>
      </c>
      <c r="B25" t="str">
        <f t="shared" si="0"/>
        <v>'1025'</v>
      </c>
    </row>
    <row r="26" spans="1:2">
      <c r="A26">
        <v>1026</v>
      </c>
      <c r="B26" t="str">
        <f t="shared" si="0"/>
        <v>'1026'</v>
      </c>
    </row>
    <row r="27" spans="1:2">
      <c r="A27">
        <v>1027</v>
      </c>
      <c r="B27" t="str">
        <f t="shared" si="0"/>
        <v>'1027'</v>
      </c>
    </row>
    <row r="28" spans="1:2">
      <c r="A28">
        <v>1028</v>
      </c>
      <c r="B28" t="str">
        <f t="shared" si="0"/>
        <v>'1028'</v>
      </c>
    </row>
    <row r="29" spans="1:2">
      <c r="A29">
        <v>1029</v>
      </c>
      <c r="B29" t="str">
        <f t="shared" si="0"/>
        <v>'1029'</v>
      </c>
    </row>
    <row r="30" spans="1:2">
      <c r="A30">
        <v>1030</v>
      </c>
      <c r="B30" t="str">
        <f t="shared" si="0"/>
        <v>'1030'</v>
      </c>
    </row>
    <row r="31" spans="1:2">
      <c r="A31">
        <v>1031</v>
      </c>
      <c r="B31" t="str">
        <f t="shared" si="0"/>
        <v>'1031'</v>
      </c>
    </row>
    <row r="32" spans="1:2">
      <c r="A32">
        <v>1032</v>
      </c>
      <c r="B32" t="str">
        <f t="shared" si="0"/>
        <v>'1032'</v>
      </c>
    </row>
    <row r="33" spans="1:2">
      <c r="A33">
        <v>1033</v>
      </c>
      <c r="B33" t="str">
        <f t="shared" ref="B33:B50" si="1">"'" &amp; A33 &amp; "'"</f>
        <v>'1033'</v>
      </c>
    </row>
    <row r="34" spans="1:2">
      <c r="A34">
        <v>1034</v>
      </c>
      <c r="B34" t="str">
        <f t="shared" si="1"/>
        <v>'1034'</v>
      </c>
    </row>
    <row r="35" spans="1:2">
      <c r="A35">
        <v>1035</v>
      </c>
      <c r="B35" t="str">
        <f t="shared" si="1"/>
        <v>'1035'</v>
      </c>
    </row>
    <row r="36" spans="1:2">
      <c r="A36">
        <v>1036</v>
      </c>
      <c r="B36" t="str">
        <f t="shared" si="1"/>
        <v>'1036'</v>
      </c>
    </row>
    <row r="37" spans="1:2">
      <c r="A37">
        <v>1037</v>
      </c>
      <c r="B37" t="str">
        <f t="shared" si="1"/>
        <v>'1037'</v>
      </c>
    </row>
    <row r="38" spans="1:2">
      <c r="A38">
        <v>1038</v>
      </c>
      <c r="B38" t="str">
        <f t="shared" si="1"/>
        <v>'1038'</v>
      </c>
    </row>
    <row r="39" spans="1:2">
      <c r="A39">
        <v>1039</v>
      </c>
      <c r="B39" t="str">
        <f t="shared" si="1"/>
        <v>'1039'</v>
      </c>
    </row>
    <row r="40" spans="1:2">
      <c r="A40">
        <v>1040</v>
      </c>
      <c r="B40" t="str">
        <f t="shared" si="1"/>
        <v>'1040'</v>
      </c>
    </row>
    <row r="41" spans="1:2">
      <c r="A41">
        <v>1041</v>
      </c>
      <c r="B41" t="str">
        <f t="shared" si="1"/>
        <v>'1041'</v>
      </c>
    </row>
    <row r="42" spans="1:2">
      <c r="A42">
        <v>1042</v>
      </c>
      <c r="B42" t="str">
        <f t="shared" si="1"/>
        <v>'1042'</v>
      </c>
    </row>
    <row r="43" spans="1:2">
      <c r="A43">
        <v>1043</v>
      </c>
      <c r="B43" t="str">
        <f t="shared" si="1"/>
        <v>'1043'</v>
      </c>
    </row>
    <row r="44" spans="1:2">
      <c r="A44">
        <v>1044</v>
      </c>
      <c r="B44" t="str">
        <f t="shared" si="1"/>
        <v>'1044'</v>
      </c>
    </row>
    <row r="45" spans="1:2">
      <c r="A45">
        <v>1045</v>
      </c>
      <c r="B45" t="str">
        <f t="shared" si="1"/>
        <v>'1045'</v>
      </c>
    </row>
    <row r="46" spans="1:2">
      <c r="A46">
        <v>1046</v>
      </c>
      <c r="B46" t="str">
        <f t="shared" si="1"/>
        <v>'1046'</v>
      </c>
    </row>
    <row r="47" spans="1:2">
      <c r="A47">
        <v>1047</v>
      </c>
      <c r="B47" t="str">
        <f t="shared" si="1"/>
        <v>'1047'</v>
      </c>
    </row>
    <row r="48" spans="1:2">
      <c r="A48">
        <v>1048</v>
      </c>
      <c r="B48" t="str">
        <f t="shared" si="1"/>
        <v>'1048'</v>
      </c>
    </row>
    <row r="49" spans="1:2">
      <c r="A49">
        <v>1049</v>
      </c>
      <c r="B49" t="str">
        <f t="shared" si="1"/>
        <v>'1049'</v>
      </c>
    </row>
    <row r="50" spans="1:2">
      <c r="A50">
        <v>1050</v>
      </c>
      <c r="B50" t="str">
        <f t="shared" si="1"/>
        <v>'1050'</v>
      </c>
    </row>
    <row r="51" spans="1:2">
      <c r="A51">
        <v>1051</v>
      </c>
      <c r="B51" t="str">
        <f t="shared" ref="B51:B64" si="2">"'" &amp; A51 &amp; "'"</f>
        <v>'1051'</v>
      </c>
    </row>
    <row r="52" spans="1:2">
      <c r="A52">
        <v>1052</v>
      </c>
      <c r="B52" t="str">
        <f t="shared" si="2"/>
        <v>'1052'</v>
      </c>
    </row>
    <row r="53" spans="1:2">
      <c r="A53">
        <v>1053</v>
      </c>
      <c r="B53" t="str">
        <f t="shared" si="2"/>
        <v>'1053'</v>
      </c>
    </row>
    <row r="54" spans="1:2">
      <c r="A54">
        <v>1054</v>
      </c>
      <c r="B54" t="str">
        <f t="shared" si="2"/>
        <v>'1054'</v>
      </c>
    </row>
    <row r="55" spans="1:2">
      <c r="A55">
        <v>1055</v>
      </c>
      <c r="B55" t="str">
        <f t="shared" si="2"/>
        <v>'1055'</v>
      </c>
    </row>
    <row r="56" spans="1:2">
      <c r="A56">
        <v>1056</v>
      </c>
      <c r="B56" t="str">
        <f t="shared" si="2"/>
        <v>'1056'</v>
      </c>
    </row>
    <row r="57" spans="1:2">
      <c r="A57">
        <v>1057</v>
      </c>
      <c r="B57" t="str">
        <f t="shared" si="2"/>
        <v>'1057'</v>
      </c>
    </row>
    <row r="58" spans="1:2">
      <c r="A58">
        <v>1058</v>
      </c>
      <c r="B58" t="str">
        <f t="shared" si="2"/>
        <v>'1058'</v>
      </c>
    </row>
    <row r="59" spans="1:2">
      <c r="A59">
        <v>1059</v>
      </c>
      <c r="B59" t="str">
        <f t="shared" si="2"/>
        <v>'1059'</v>
      </c>
    </row>
    <row r="60" spans="1:2">
      <c r="A60">
        <v>1060</v>
      </c>
      <c r="B60" t="str">
        <f t="shared" si="2"/>
        <v>'1060'</v>
      </c>
    </row>
    <row r="61" spans="1:2">
      <c r="A61">
        <v>1061</v>
      </c>
      <c r="B61" t="str">
        <f t="shared" si="2"/>
        <v>'1061'</v>
      </c>
    </row>
    <row r="62" spans="1:2">
      <c r="A62">
        <v>1062</v>
      </c>
      <c r="B62" t="str">
        <f t="shared" si="2"/>
        <v>'1062'</v>
      </c>
    </row>
    <row r="63" spans="1:2">
      <c r="A63">
        <v>1063</v>
      </c>
      <c r="B63" t="str">
        <f t="shared" si="2"/>
        <v>'1063'</v>
      </c>
    </row>
    <row r="64" spans="1:2">
      <c r="A64">
        <v>1064</v>
      </c>
      <c r="B64" t="str">
        <f t="shared" si="2"/>
        <v>'1064'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en-us</vt:lpstr>
      <vt:lpstr>pt-br</vt:lpstr>
      <vt:lpstr>num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2025-11-18T01:24:22Z</dcterms:modified>
</cp:coreProperties>
</file>