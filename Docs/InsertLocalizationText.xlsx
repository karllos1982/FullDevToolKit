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5415" yWindow="-195" windowWidth="18735" windowHeight="11700"/>
  </bookViews>
  <sheets>
    <sheet name="en-us" sheetId="1" r:id="rId1"/>
    <sheet name="pt-br" sheetId="4" r:id="rId2"/>
    <sheet name="num" sheetId="2" r:id="rId3"/>
    <sheet name="Plan3" sheetId="3" r:id="rId4"/>
  </sheets>
  <calcPr calcId="162913"/>
</workbook>
</file>

<file path=xl/calcChain.xml><?xml version="1.0" encoding="utf-8"?>
<calcChain xmlns="http://schemas.openxmlformats.org/spreadsheetml/2006/main">
  <c r="E315" i="4" l="1"/>
  <c r="E316" i="4"/>
  <c r="E317" i="4"/>
  <c r="D317" i="4"/>
  <c r="C317" i="4"/>
  <c r="F317" i="4" s="1"/>
  <c r="D316" i="4"/>
  <c r="C316" i="4"/>
  <c r="D315" i="4"/>
  <c r="C315" i="4"/>
  <c r="E317" i="1"/>
  <c r="E316" i="1"/>
  <c r="E315" i="1"/>
  <c r="F315" i="1" s="1"/>
  <c r="D317" i="1"/>
  <c r="D315" i="1"/>
  <c r="D316" i="1"/>
  <c r="C317" i="1"/>
  <c r="F317" i="1"/>
  <c r="C316" i="1"/>
  <c r="F316" i="1"/>
  <c r="C315" i="1"/>
  <c r="E314" i="4"/>
  <c r="E313" i="4"/>
  <c r="E312" i="4"/>
  <c r="E311" i="4"/>
  <c r="D314" i="4"/>
  <c r="C314" i="4"/>
  <c r="F314" i="4" s="1"/>
  <c r="D313" i="4"/>
  <c r="C313" i="4"/>
  <c r="D312" i="4"/>
  <c r="C312" i="4"/>
  <c r="F312" i="4" s="1"/>
  <c r="D311" i="4"/>
  <c r="C311" i="4"/>
  <c r="E314" i="1"/>
  <c r="D314" i="1"/>
  <c r="F314" i="1" s="1"/>
  <c r="C314" i="1"/>
  <c r="D313" i="1"/>
  <c r="E313" i="1"/>
  <c r="C313" i="1"/>
  <c r="F313" i="1"/>
  <c r="E312" i="1"/>
  <c r="D312" i="1"/>
  <c r="C312" i="1"/>
  <c r="E311" i="1"/>
  <c r="D311" i="1"/>
  <c r="F311" i="1" s="1"/>
  <c r="C311" i="1"/>
  <c r="F316" i="4" l="1"/>
  <c r="F315" i="4"/>
  <c r="F313" i="4"/>
  <c r="F311" i="4"/>
  <c r="F312" i="1"/>
  <c r="E310" i="4"/>
  <c r="F310" i="4" s="1"/>
  <c r="E309" i="4"/>
  <c r="F309" i="4" s="1"/>
  <c r="E308" i="4"/>
  <c r="F308" i="4" s="1"/>
  <c r="E307" i="4"/>
  <c r="F307" i="4" s="1"/>
  <c r="E306" i="4"/>
  <c r="F306" i="4" s="1"/>
  <c r="E305" i="4"/>
  <c r="F305" i="4" s="1"/>
  <c r="E304" i="4"/>
  <c r="E303" i="4"/>
  <c r="F303" i="4" s="1"/>
  <c r="E302" i="4"/>
  <c r="E301" i="4"/>
  <c r="E300" i="4"/>
  <c r="E299" i="4"/>
  <c r="F299" i="4" s="1"/>
  <c r="E298" i="4"/>
  <c r="F297" i="4"/>
  <c r="F298" i="4"/>
  <c r="F300" i="4"/>
  <c r="F301" i="4"/>
  <c r="F302" i="4"/>
  <c r="F304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E297" i="4"/>
  <c r="D297" i="4"/>
  <c r="C297" i="1"/>
  <c r="C298" i="1"/>
  <c r="F298" i="1" s="1"/>
  <c r="C299" i="1"/>
  <c r="C300" i="1"/>
  <c r="C301" i="1"/>
  <c r="C302" i="1"/>
  <c r="F302" i="1" s="1"/>
  <c r="C303" i="1"/>
  <c r="C304" i="1"/>
  <c r="C305" i="1"/>
  <c r="C306" i="1"/>
  <c r="F306" i="1" s="1"/>
  <c r="C307" i="1"/>
  <c r="C308" i="1"/>
  <c r="C309" i="1"/>
  <c r="C310" i="1"/>
  <c r="F310" i="1" s="1"/>
  <c r="F299" i="1"/>
  <c r="F300" i="1"/>
  <c r="F301" i="1"/>
  <c r="F303" i="1"/>
  <c r="F304" i="1"/>
  <c r="F305" i="1"/>
  <c r="F307" i="1"/>
  <c r="F308" i="1"/>
  <c r="F309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F297" i="1" l="1"/>
  <c r="E296" i="1"/>
  <c r="E296" i="4"/>
  <c r="E295" i="4"/>
  <c r="D296" i="4"/>
  <c r="C296" i="4"/>
  <c r="D295" i="4"/>
  <c r="C295" i="4"/>
  <c r="F295" i="4" s="1"/>
  <c r="D296" i="1"/>
  <c r="F296" i="1"/>
  <c r="C296" i="1"/>
  <c r="E295" i="1"/>
  <c r="D295" i="1"/>
  <c r="C295" i="1"/>
  <c r="F295" i="1" s="1"/>
  <c r="F296" i="4" l="1"/>
  <c r="D283" i="4"/>
  <c r="D283" i="1"/>
  <c r="E294" i="4" l="1"/>
  <c r="D294" i="4"/>
  <c r="C294" i="4"/>
  <c r="F294" i="4" s="1"/>
  <c r="E294" i="1"/>
  <c r="D294" i="1"/>
  <c r="C294" i="1"/>
  <c r="F294" i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1" i="4"/>
  <c r="F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E293" i="4"/>
  <c r="E292" i="4"/>
  <c r="E291" i="4"/>
  <c r="E290" i="4"/>
  <c r="E289" i="4"/>
  <c r="E288" i="4"/>
  <c r="E287" i="4"/>
  <c r="E286" i="4"/>
  <c r="E284" i="4"/>
  <c r="E283" i="4"/>
  <c r="E285" i="4"/>
  <c r="E282" i="4"/>
  <c r="D282" i="4"/>
  <c r="C282" i="4"/>
  <c r="E282" i="1"/>
  <c r="D282" i="1"/>
  <c r="C282" i="1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C283" i="4"/>
  <c r="E293" i="1"/>
  <c r="E292" i="1"/>
  <c r="E291" i="1"/>
  <c r="E290" i="1"/>
  <c r="E289" i="1"/>
  <c r="E288" i="1"/>
  <c r="E287" i="1"/>
  <c r="E286" i="1"/>
  <c r="E259" i="1"/>
  <c r="E285" i="1"/>
  <c r="E284" i="1"/>
  <c r="E283" i="1"/>
  <c r="D293" i="1"/>
  <c r="C293" i="1"/>
  <c r="D292" i="1"/>
  <c r="D291" i="1"/>
  <c r="D290" i="1"/>
  <c r="D289" i="1"/>
  <c r="C289" i="1"/>
  <c r="C290" i="1"/>
  <c r="C291" i="1"/>
  <c r="C292" i="1"/>
  <c r="D288" i="1"/>
  <c r="D287" i="1"/>
  <c r="D286" i="1"/>
  <c r="D285" i="1"/>
  <c r="D284" i="1"/>
  <c r="C284" i="1"/>
  <c r="C285" i="1"/>
  <c r="C286" i="1"/>
  <c r="C287" i="1"/>
  <c r="C288" i="1"/>
  <c r="C275" i="1"/>
  <c r="C274" i="1"/>
  <c r="E275" i="1"/>
  <c r="D275" i="1"/>
  <c r="E274" i="1"/>
  <c r="D274" i="1"/>
  <c r="C274" i="4" l="1"/>
  <c r="C275" i="4"/>
  <c r="C276" i="4"/>
  <c r="C277" i="4"/>
  <c r="C278" i="4"/>
  <c r="C279" i="4"/>
  <c r="C280" i="4"/>
  <c r="C281" i="4"/>
  <c r="D276" i="4"/>
  <c r="E281" i="4"/>
  <c r="E280" i="4"/>
  <c r="E279" i="4"/>
  <c r="E278" i="4"/>
  <c r="E277" i="4"/>
  <c r="E276" i="4"/>
  <c r="D281" i="4"/>
  <c r="D280" i="4"/>
  <c r="D279" i="4"/>
  <c r="D278" i="4"/>
  <c r="D277" i="4"/>
  <c r="C283" i="1"/>
  <c r="E281" i="1"/>
  <c r="D281" i="1"/>
  <c r="C281" i="1"/>
  <c r="E280" i="1"/>
  <c r="E279" i="1"/>
  <c r="D280" i="1"/>
  <c r="E276" i="1"/>
  <c r="D276" i="1"/>
  <c r="C276" i="1"/>
  <c r="C280" i="1"/>
  <c r="D279" i="1"/>
  <c r="C279" i="1"/>
  <c r="E278" i="1"/>
  <c r="D278" i="1"/>
  <c r="C278" i="1"/>
  <c r="E277" i="1"/>
  <c r="D277" i="1"/>
  <c r="D273" i="1"/>
  <c r="C277" i="1"/>
  <c r="C256" i="1"/>
  <c r="C273" i="4"/>
  <c r="C269" i="4"/>
  <c r="C270" i="4"/>
  <c r="C271" i="4"/>
  <c r="C272" i="4"/>
  <c r="C262" i="4"/>
  <c r="C263" i="4"/>
  <c r="C264" i="4"/>
  <c r="C265" i="4"/>
  <c r="C266" i="4"/>
  <c r="C267" i="4"/>
  <c r="C268" i="4"/>
  <c r="C256" i="4"/>
  <c r="C257" i="4"/>
  <c r="C258" i="4"/>
  <c r="C259" i="4"/>
  <c r="C260" i="4"/>
  <c r="C261" i="4"/>
  <c r="C269" i="1"/>
  <c r="C270" i="1"/>
  <c r="C271" i="1"/>
  <c r="C272" i="1"/>
  <c r="C273" i="1"/>
  <c r="C264" i="1"/>
  <c r="C265" i="1"/>
  <c r="C266" i="1"/>
  <c r="C267" i="1"/>
  <c r="C268" i="1"/>
  <c r="C257" i="1"/>
  <c r="C258" i="1"/>
  <c r="C259" i="1"/>
  <c r="C260" i="1"/>
  <c r="C261" i="1"/>
  <c r="C262" i="1"/>
  <c r="C263" i="1"/>
  <c r="C109" i="4"/>
  <c r="C110" i="4"/>
  <c r="C111" i="4"/>
  <c r="C112" i="4"/>
  <c r="C113" i="4"/>
  <c r="C114" i="4"/>
  <c r="C115" i="4"/>
  <c r="C116" i="4"/>
  <c r="C117" i="4"/>
  <c r="C118" i="4"/>
  <c r="C119" i="4"/>
  <c r="C120" i="4"/>
  <c r="C109" i="1"/>
  <c r="C110" i="1"/>
  <c r="C111" i="1"/>
  <c r="C112" i="1"/>
  <c r="C113" i="1"/>
  <c r="C114" i="1"/>
  <c r="C115" i="1"/>
  <c r="C116" i="1"/>
  <c r="C117" i="1"/>
  <c r="C118" i="1"/>
  <c r="C119" i="1"/>
  <c r="C120" i="1"/>
  <c r="C98" i="4"/>
  <c r="C99" i="4"/>
  <c r="C100" i="4"/>
  <c r="C101" i="4"/>
  <c r="C102" i="4"/>
  <c r="C103" i="4"/>
  <c r="C104" i="4"/>
  <c r="C105" i="4"/>
  <c r="C106" i="4"/>
  <c r="C107" i="4"/>
  <c r="C108" i="4"/>
  <c r="C98" i="1"/>
  <c r="C99" i="1"/>
  <c r="C100" i="1"/>
  <c r="C101" i="1"/>
  <c r="C102" i="1"/>
  <c r="C103" i="1"/>
  <c r="C104" i="1"/>
  <c r="C105" i="1"/>
  <c r="C106" i="1"/>
  <c r="C107" i="1"/>
  <c r="C108" i="1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N1" i="4"/>
  <c r="E152" i="4" s="1"/>
  <c r="C1" i="4"/>
  <c r="C1" i="1"/>
  <c r="N1" i="1"/>
  <c r="E62" i="1" s="1"/>
  <c r="B63" i="3"/>
  <c r="B64" i="3"/>
  <c r="B51" i="3"/>
  <c r="B52" i="3"/>
  <c r="B53" i="3"/>
  <c r="B54" i="3"/>
  <c r="B55" i="3"/>
  <c r="B56" i="3"/>
  <c r="B57" i="3"/>
  <c r="B58" i="3"/>
  <c r="B59" i="3"/>
  <c r="B60" i="3"/>
  <c r="B61" i="3"/>
  <c r="B62" i="3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1" i="3"/>
  <c r="E269" i="4" l="1"/>
  <c r="E260" i="4"/>
  <c r="E83" i="4"/>
  <c r="E87" i="4"/>
  <c r="E91" i="4"/>
  <c r="E95" i="4"/>
  <c r="D82" i="4"/>
  <c r="D86" i="4"/>
  <c r="D90" i="4"/>
  <c r="D94" i="4"/>
  <c r="E99" i="4"/>
  <c r="E103" i="4"/>
  <c r="E107" i="4"/>
  <c r="D100" i="4"/>
  <c r="D104" i="4"/>
  <c r="D108" i="4"/>
  <c r="E114" i="4"/>
  <c r="E120" i="4"/>
  <c r="D117" i="4"/>
  <c r="D113" i="4"/>
  <c r="E115" i="4"/>
  <c r="D112" i="4"/>
  <c r="D257" i="4"/>
  <c r="D261" i="4"/>
  <c r="D264" i="4"/>
  <c r="D268" i="4"/>
  <c r="D271" i="4"/>
  <c r="E257" i="4"/>
  <c r="E261" i="4"/>
  <c r="E266" i="4"/>
  <c r="E270" i="4"/>
  <c r="E273" i="4"/>
  <c r="E82" i="4"/>
  <c r="E86" i="4"/>
  <c r="E90" i="4"/>
  <c r="E94" i="4"/>
  <c r="D81" i="4"/>
  <c r="D85" i="4"/>
  <c r="D89" i="4"/>
  <c r="D93" i="4"/>
  <c r="D97" i="4"/>
  <c r="E98" i="4"/>
  <c r="E102" i="4"/>
  <c r="E106" i="4"/>
  <c r="D99" i="4"/>
  <c r="D103" i="4"/>
  <c r="D107" i="4"/>
  <c r="E113" i="4"/>
  <c r="E119" i="4"/>
  <c r="D110" i="4"/>
  <c r="D120" i="4"/>
  <c r="E112" i="4"/>
  <c r="D111" i="4"/>
  <c r="D256" i="4"/>
  <c r="D260" i="4"/>
  <c r="D263" i="4"/>
  <c r="D267" i="4"/>
  <c r="E256" i="4"/>
  <c r="E265" i="4"/>
  <c r="E272" i="4"/>
  <c r="E81" i="4"/>
  <c r="E85" i="4"/>
  <c r="E89" i="4"/>
  <c r="E93" i="4"/>
  <c r="E97" i="4"/>
  <c r="D84" i="4"/>
  <c r="D88" i="4"/>
  <c r="D92" i="4"/>
  <c r="D96" i="4"/>
  <c r="E101" i="4"/>
  <c r="E105" i="4"/>
  <c r="D98" i="4"/>
  <c r="D102" i="4"/>
  <c r="D106" i="4"/>
  <c r="E110" i="4"/>
  <c r="E118" i="4"/>
  <c r="D109" i="4"/>
  <c r="D119" i="4"/>
  <c r="D115" i="4"/>
  <c r="E116" i="4"/>
  <c r="D259" i="4"/>
  <c r="E262" i="4"/>
  <c r="D266" i="4"/>
  <c r="D270" i="4"/>
  <c r="D273" i="4"/>
  <c r="E259" i="4"/>
  <c r="E264" i="4"/>
  <c r="E268" i="4"/>
  <c r="E271" i="4"/>
  <c r="E84" i="4"/>
  <c r="E88" i="4"/>
  <c r="E92" i="4"/>
  <c r="E96" i="4"/>
  <c r="D83" i="4"/>
  <c r="D87" i="4"/>
  <c r="D91" i="4"/>
  <c r="D95" i="4"/>
  <c r="E100" i="4"/>
  <c r="E104" i="4"/>
  <c r="E108" i="4"/>
  <c r="D101" i="4"/>
  <c r="D105" i="4"/>
  <c r="E109" i="4"/>
  <c r="E117" i="4"/>
  <c r="D118" i="4"/>
  <c r="D114" i="4"/>
  <c r="E111" i="4"/>
  <c r="D116" i="4"/>
  <c r="D258" i="4"/>
  <c r="D262" i="4"/>
  <c r="D265" i="4"/>
  <c r="D269" i="4"/>
  <c r="D272" i="4"/>
  <c r="E258" i="4"/>
  <c r="E263" i="4"/>
  <c r="E267" i="4"/>
  <c r="E118" i="1"/>
  <c r="E120" i="1"/>
  <c r="D109" i="1"/>
  <c r="D117" i="1"/>
  <c r="E115" i="1"/>
  <c r="D116" i="1"/>
  <c r="E257" i="1"/>
  <c r="E260" i="1"/>
  <c r="E263" i="1"/>
  <c r="D265" i="1"/>
  <c r="D269" i="1"/>
  <c r="D272" i="1"/>
  <c r="E267" i="1"/>
  <c r="E264" i="1"/>
  <c r="D126" i="1"/>
  <c r="E119" i="1"/>
  <c r="D114" i="1"/>
  <c r="D120" i="1"/>
  <c r="E111" i="1"/>
  <c r="D112" i="1"/>
  <c r="D257" i="1"/>
  <c r="D259" i="1"/>
  <c r="D260" i="1"/>
  <c r="D263" i="1"/>
  <c r="D268" i="1"/>
  <c r="D271" i="1"/>
  <c r="E266" i="1"/>
  <c r="E270" i="1"/>
  <c r="E273" i="1"/>
  <c r="D188" i="1"/>
  <c r="D113" i="1"/>
  <c r="D119" i="1"/>
  <c r="E112" i="1"/>
  <c r="E116" i="1"/>
  <c r="D111" i="1"/>
  <c r="E256" i="1"/>
  <c r="E258" i="1"/>
  <c r="D261" i="1"/>
  <c r="E262" i="1"/>
  <c r="D267" i="1"/>
  <c r="E265" i="1"/>
  <c r="E269" i="1"/>
  <c r="E272" i="1"/>
  <c r="D110" i="1"/>
  <c r="D118" i="1"/>
  <c r="D115" i="1"/>
  <c r="D256" i="1"/>
  <c r="D258" i="1"/>
  <c r="E261" i="1"/>
  <c r="D262" i="1"/>
  <c r="D264" i="1"/>
  <c r="D266" i="1"/>
  <c r="D270" i="1"/>
  <c r="E268" i="1"/>
  <c r="E271" i="1"/>
  <c r="E108" i="1"/>
  <c r="D101" i="1"/>
  <c r="D105" i="1"/>
  <c r="E109" i="1"/>
  <c r="E114" i="1"/>
  <c r="E117" i="1"/>
  <c r="E206" i="1"/>
  <c r="E253" i="1"/>
  <c r="D100" i="1"/>
  <c r="D104" i="1"/>
  <c r="E113" i="1"/>
  <c r="E159" i="1"/>
  <c r="D99" i="1"/>
  <c r="D103" i="1"/>
  <c r="D107" i="1"/>
  <c r="D108" i="1"/>
  <c r="E110" i="1"/>
  <c r="E246" i="1"/>
  <c r="D250" i="1"/>
  <c r="D194" i="1"/>
  <c r="D98" i="1"/>
  <c r="D102" i="1"/>
  <c r="D106" i="1"/>
  <c r="D123" i="1"/>
  <c r="D249" i="1"/>
  <c r="E245" i="1"/>
  <c r="E250" i="1"/>
  <c r="E205" i="1"/>
  <c r="E192" i="1"/>
  <c r="E91" i="1"/>
  <c r="D85" i="1"/>
  <c r="E99" i="1"/>
  <c r="E103" i="1"/>
  <c r="E107" i="1"/>
  <c r="E160" i="1"/>
  <c r="E126" i="1"/>
  <c r="D246" i="1"/>
  <c r="D254" i="1"/>
  <c r="E249" i="1"/>
  <c r="D80" i="1"/>
  <c r="D192" i="1"/>
  <c r="E87" i="1"/>
  <c r="D81" i="1"/>
  <c r="D97" i="1"/>
  <c r="E98" i="1"/>
  <c r="E102" i="1"/>
  <c r="E106" i="1"/>
  <c r="E124" i="1"/>
  <c r="D245" i="1"/>
  <c r="D252" i="1"/>
  <c r="E248" i="1"/>
  <c r="E254" i="1"/>
  <c r="E188" i="1"/>
  <c r="E83" i="1"/>
  <c r="D93" i="1"/>
  <c r="E101" i="1"/>
  <c r="E105" i="1"/>
  <c r="E96" i="1"/>
  <c r="D89" i="1"/>
  <c r="E100" i="1"/>
  <c r="E104" i="1"/>
  <c r="E84" i="1"/>
  <c r="E88" i="1"/>
  <c r="E93" i="1"/>
  <c r="E97" i="1"/>
  <c r="E92" i="1"/>
  <c r="D82" i="1"/>
  <c r="D86" i="1"/>
  <c r="D90" i="1"/>
  <c r="D94" i="1"/>
  <c r="E82" i="1"/>
  <c r="E86" i="1"/>
  <c r="E90" i="1"/>
  <c r="E95" i="1"/>
  <c r="D84" i="1"/>
  <c r="D88" i="1"/>
  <c r="D92" i="1"/>
  <c r="D96" i="1"/>
  <c r="E157" i="1"/>
  <c r="E123" i="1"/>
  <c r="D124" i="1"/>
  <c r="D248" i="1"/>
  <c r="D253" i="1"/>
  <c r="E244" i="1"/>
  <c r="E252" i="1"/>
  <c r="E239" i="1"/>
  <c r="D190" i="1"/>
  <c r="E81" i="1"/>
  <c r="E85" i="1"/>
  <c r="E89" i="1"/>
  <c r="E94" i="1"/>
  <c r="D83" i="1"/>
  <c r="D87" i="1"/>
  <c r="D91" i="1"/>
  <c r="D95" i="1"/>
  <c r="D192" i="4"/>
  <c r="E192" i="4"/>
  <c r="E239" i="4"/>
  <c r="D190" i="4"/>
  <c r="E190" i="4"/>
  <c r="E207" i="4"/>
  <c r="D207" i="4"/>
  <c r="D188" i="4"/>
  <c r="E188" i="4"/>
  <c r="E205" i="4"/>
  <c r="D205" i="4"/>
  <c r="D194" i="4"/>
  <c r="E194" i="4"/>
  <c r="D239" i="4"/>
  <c r="E80" i="1"/>
  <c r="E204" i="1"/>
  <c r="E125" i="1"/>
  <c r="D125" i="1"/>
  <c r="D247" i="1"/>
  <c r="D251" i="1"/>
  <c r="D255" i="1"/>
  <c r="E247" i="1"/>
  <c r="E251" i="1"/>
  <c r="E255" i="1"/>
  <c r="E207" i="1"/>
  <c r="E190" i="1"/>
  <c r="E194" i="1"/>
  <c r="D239" i="1"/>
  <c r="D207" i="1"/>
  <c r="D205" i="1"/>
  <c r="E80" i="4"/>
  <c r="E157" i="4"/>
  <c r="E124" i="4"/>
  <c r="D124" i="4"/>
  <c r="D248" i="4"/>
  <c r="D252" i="4"/>
  <c r="E245" i="4"/>
  <c r="E249" i="4"/>
  <c r="E253" i="4"/>
  <c r="E79" i="4"/>
  <c r="E122" i="4"/>
  <c r="E123" i="4"/>
  <c r="D123" i="4"/>
  <c r="D247" i="4"/>
  <c r="D251" i="4"/>
  <c r="D255" i="4"/>
  <c r="E248" i="4"/>
  <c r="E252" i="4"/>
  <c r="D126" i="4"/>
  <c r="D246" i="4"/>
  <c r="D250" i="4"/>
  <c r="D254" i="4"/>
  <c r="E247" i="4"/>
  <c r="E251" i="4"/>
  <c r="E255" i="4"/>
  <c r="E121" i="4"/>
  <c r="E159" i="4"/>
  <c r="E126" i="4"/>
  <c r="E158" i="4"/>
  <c r="E125" i="4"/>
  <c r="D125" i="4"/>
  <c r="D245" i="4"/>
  <c r="D249" i="4"/>
  <c r="D253" i="4"/>
  <c r="E246" i="4"/>
  <c r="E250" i="4"/>
  <c r="E254" i="4"/>
  <c r="D80" i="4"/>
  <c r="E77" i="4"/>
  <c r="E170" i="4"/>
  <c r="E174" i="4"/>
  <c r="E178" i="4"/>
  <c r="E183" i="4"/>
  <c r="E187" i="4"/>
  <c r="E195" i="4"/>
  <c r="E198" i="4"/>
  <c r="E202" i="4"/>
  <c r="E208" i="4"/>
  <c r="E214" i="4"/>
  <c r="E216" i="4"/>
  <c r="E220" i="4"/>
  <c r="E224" i="4"/>
  <c r="E228" i="4"/>
  <c r="E232" i="4"/>
  <c r="E236" i="4"/>
  <c r="E241" i="4"/>
  <c r="D52" i="4"/>
  <c r="D56" i="4"/>
  <c r="D60" i="4"/>
  <c r="D64" i="4"/>
  <c r="D68" i="4"/>
  <c r="D72" i="4"/>
  <c r="D76" i="4"/>
  <c r="D122" i="4"/>
  <c r="D130" i="4"/>
  <c r="D134" i="4"/>
  <c r="D138" i="4"/>
  <c r="D142" i="4"/>
  <c r="D146" i="4"/>
  <c r="D150" i="4"/>
  <c r="D154" i="4"/>
  <c r="D158" i="4"/>
  <c r="D162" i="4"/>
  <c r="D167" i="4"/>
  <c r="D171" i="4"/>
  <c r="D175" i="4"/>
  <c r="D179" i="4"/>
  <c r="D183" i="4"/>
  <c r="D187" i="4"/>
  <c r="D195" i="4"/>
  <c r="D199" i="4"/>
  <c r="D203" i="4"/>
  <c r="D209" i="4"/>
  <c r="D213" i="4"/>
  <c r="D217" i="4"/>
  <c r="D221" i="4"/>
  <c r="D225" i="4"/>
  <c r="D229" i="4"/>
  <c r="D233" i="4"/>
  <c r="D237" i="4"/>
  <c r="D242" i="4"/>
  <c r="D164" i="4"/>
  <c r="D79" i="4"/>
  <c r="E76" i="4"/>
  <c r="E169" i="4"/>
  <c r="E173" i="4"/>
  <c r="E177" i="4"/>
  <c r="E182" i="4"/>
  <c r="E185" i="4"/>
  <c r="E193" i="4"/>
  <c r="E186" i="4"/>
  <c r="E201" i="4"/>
  <c r="E206" i="4"/>
  <c r="E211" i="4"/>
  <c r="E215" i="4"/>
  <c r="E219" i="4"/>
  <c r="E223" i="4"/>
  <c r="E227" i="4"/>
  <c r="E231" i="4"/>
  <c r="E235" i="4"/>
  <c r="E240" i="4"/>
  <c r="D51" i="4"/>
  <c r="D55" i="4"/>
  <c r="D59" i="4"/>
  <c r="D63" i="4"/>
  <c r="D67" i="4"/>
  <c r="D71" i="4"/>
  <c r="D75" i="4"/>
  <c r="D121" i="4"/>
  <c r="D129" i="4"/>
  <c r="D133" i="4"/>
  <c r="D137" i="4"/>
  <c r="D141" i="4"/>
  <c r="D145" i="4"/>
  <c r="D149" i="4"/>
  <c r="D153" i="4"/>
  <c r="D157" i="4"/>
  <c r="D161" i="4"/>
  <c r="D166" i="4"/>
  <c r="D170" i="4"/>
  <c r="D174" i="4"/>
  <c r="D178" i="4"/>
  <c r="D182" i="4"/>
  <c r="D186" i="4"/>
  <c r="D193" i="4"/>
  <c r="D198" i="4"/>
  <c r="D202" i="4"/>
  <c r="D208" i="4"/>
  <c r="D212" i="4"/>
  <c r="D216" i="4"/>
  <c r="D220" i="4"/>
  <c r="D224" i="4"/>
  <c r="D228" i="4"/>
  <c r="D232" i="4"/>
  <c r="D236" i="4"/>
  <c r="D241" i="4"/>
  <c r="E165" i="4"/>
  <c r="E66" i="4"/>
  <c r="E168" i="4"/>
  <c r="E172" i="4"/>
  <c r="E176" i="4"/>
  <c r="E181" i="4"/>
  <c r="E184" i="4"/>
  <c r="E191" i="4"/>
  <c r="E197" i="4"/>
  <c r="E200" i="4"/>
  <c r="E204" i="4"/>
  <c r="E210" i="4"/>
  <c r="E213" i="4"/>
  <c r="E218" i="4"/>
  <c r="E222" i="4"/>
  <c r="E226" i="4"/>
  <c r="E230" i="4"/>
  <c r="E234" i="4"/>
  <c r="E238" i="4"/>
  <c r="E243" i="4"/>
  <c r="D54" i="4"/>
  <c r="D58" i="4"/>
  <c r="D62" i="4"/>
  <c r="D66" i="4"/>
  <c r="D70" i="4"/>
  <c r="D74" i="4"/>
  <c r="D78" i="4"/>
  <c r="D128" i="4"/>
  <c r="D132" i="4"/>
  <c r="D136" i="4"/>
  <c r="D140" i="4"/>
  <c r="D144" i="4"/>
  <c r="D148" i="4"/>
  <c r="D152" i="4"/>
  <c r="D156" i="4"/>
  <c r="D160" i="4"/>
  <c r="D165" i="4"/>
  <c r="D169" i="4"/>
  <c r="D173" i="4"/>
  <c r="D177" i="4"/>
  <c r="D181" i="4"/>
  <c r="D185" i="4"/>
  <c r="D191" i="4"/>
  <c r="D197" i="4"/>
  <c r="D201" i="4"/>
  <c r="D206" i="4"/>
  <c r="D211" i="4"/>
  <c r="D215" i="4"/>
  <c r="D219" i="4"/>
  <c r="D223" i="4"/>
  <c r="D227" i="4"/>
  <c r="D231" i="4"/>
  <c r="D235" i="4"/>
  <c r="D240" i="4"/>
  <c r="D244" i="4"/>
  <c r="E78" i="4"/>
  <c r="E244" i="4"/>
  <c r="E171" i="4"/>
  <c r="E175" i="4"/>
  <c r="E180" i="4"/>
  <c r="E179" i="4"/>
  <c r="E189" i="4"/>
  <c r="E196" i="4"/>
  <c r="E199" i="4"/>
  <c r="E203" i="4"/>
  <c r="E209" i="4"/>
  <c r="E212" i="4"/>
  <c r="E217" i="4"/>
  <c r="E221" i="4"/>
  <c r="E225" i="4"/>
  <c r="E229" i="4"/>
  <c r="E233" i="4"/>
  <c r="E237" i="4"/>
  <c r="E242" i="4"/>
  <c r="D53" i="4"/>
  <c r="D57" i="4"/>
  <c r="D61" i="4"/>
  <c r="D65" i="4"/>
  <c r="D69" i="4"/>
  <c r="D73" i="4"/>
  <c r="D77" i="4"/>
  <c r="D127" i="4"/>
  <c r="D131" i="4"/>
  <c r="D135" i="4"/>
  <c r="D139" i="4"/>
  <c r="D143" i="4"/>
  <c r="D147" i="4"/>
  <c r="D151" i="4"/>
  <c r="D155" i="4"/>
  <c r="D159" i="4"/>
  <c r="D163" i="4"/>
  <c r="D168" i="4"/>
  <c r="D172" i="4"/>
  <c r="D176" i="4"/>
  <c r="D180" i="4"/>
  <c r="D184" i="4"/>
  <c r="D189" i="4"/>
  <c r="D196" i="4"/>
  <c r="D200" i="4"/>
  <c r="D204" i="4"/>
  <c r="D210" i="4"/>
  <c r="D214" i="4"/>
  <c r="D218" i="4"/>
  <c r="D222" i="4"/>
  <c r="D226" i="4"/>
  <c r="D230" i="4"/>
  <c r="D234" i="4"/>
  <c r="D238" i="4"/>
  <c r="D243" i="4"/>
  <c r="D76" i="1"/>
  <c r="D66" i="1"/>
  <c r="D184" i="1"/>
  <c r="D163" i="1"/>
  <c r="D171" i="1"/>
  <c r="D179" i="1"/>
  <c r="D187" i="1"/>
  <c r="D195" i="1"/>
  <c r="D199" i="1"/>
  <c r="D203" i="1"/>
  <c r="D209" i="1"/>
  <c r="D215" i="1"/>
  <c r="D219" i="1"/>
  <c r="D223" i="1"/>
  <c r="D227" i="1"/>
  <c r="D231" i="1"/>
  <c r="D235" i="1"/>
  <c r="D240" i="1"/>
  <c r="D244" i="1"/>
  <c r="E168" i="1"/>
  <c r="E176" i="1"/>
  <c r="E180" i="1"/>
  <c r="E184" i="1"/>
  <c r="E196" i="1"/>
  <c r="E201" i="1"/>
  <c r="E211" i="1"/>
  <c r="E219" i="1"/>
  <c r="E223" i="1"/>
  <c r="E227" i="1"/>
  <c r="E233" i="1"/>
  <c r="E237" i="1"/>
  <c r="E243" i="1"/>
  <c r="E240" i="1"/>
  <c r="E216" i="1"/>
  <c r="E189" i="1"/>
  <c r="E169" i="1"/>
  <c r="E213" i="1"/>
  <c r="E165" i="1"/>
  <c r="D159" i="1"/>
  <c r="D168" i="1"/>
  <c r="D176" i="1"/>
  <c r="D186" i="1"/>
  <c r="D193" i="1"/>
  <c r="D198" i="1"/>
  <c r="D202" i="1"/>
  <c r="D208" i="1"/>
  <c r="D214" i="1"/>
  <c r="D218" i="1"/>
  <c r="D222" i="1"/>
  <c r="D226" i="1"/>
  <c r="D230" i="1"/>
  <c r="D234" i="1"/>
  <c r="D238" i="1"/>
  <c r="D243" i="1"/>
  <c r="E167" i="1"/>
  <c r="E175" i="1"/>
  <c r="E179" i="1"/>
  <c r="E183" i="1"/>
  <c r="E195" i="1"/>
  <c r="E200" i="1"/>
  <c r="E210" i="1"/>
  <c r="E218" i="1"/>
  <c r="E222" i="1"/>
  <c r="E226" i="1"/>
  <c r="E232" i="1"/>
  <c r="E236" i="1"/>
  <c r="E242" i="1"/>
  <c r="E217" i="1"/>
  <c r="E191" i="1"/>
  <c r="E170" i="1"/>
  <c r="E212" i="1"/>
  <c r="D78" i="1"/>
  <c r="D158" i="1"/>
  <c r="D167" i="1"/>
  <c r="D175" i="1"/>
  <c r="D160" i="1"/>
  <c r="D191" i="1"/>
  <c r="D197" i="1"/>
  <c r="D201" i="1"/>
  <c r="D206" i="1"/>
  <c r="D211" i="1"/>
  <c r="D217" i="1"/>
  <c r="D221" i="1"/>
  <c r="D225" i="1"/>
  <c r="D229" i="1"/>
  <c r="D233" i="1"/>
  <c r="D237" i="1"/>
  <c r="D242" i="1"/>
  <c r="E174" i="1"/>
  <c r="E178" i="1"/>
  <c r="E182" i="1"/>
  <c r="E186" i="1"/>
  <c r="E199" i="1"/>
  <c r="E203" i="1"/>
  <c r="E209" i="1"/>
  <c r="E214" i="1"/>
  <c r="E221" i="1"/>
  <c r="E225" i="1"/>
  <c r="E229" i="1"/>
  <c r="E235" i="1"/>
  <c r="E241" i="1"/>
  <c r="E173" i="1"/>
  <c r="E230" i="1"/>
  <c r="E193" i="1"/>
  <c r="E171" i="1"/>
  <c r="E121" i="1"/>
  <c r="D213" i="1"/>
  <c r="D70" i="1"/>
  <c r="E77" i="1"/>
  <c r="E66" i="1"/>
  <c r="D185" i="1"/>
  <c r="D164" i="1"/>
  <c r="D172" i="1"/>
  <c r="D180" i="1"/>
  <c r="D189" i="1"/>
  <c r="D196" i="1"/>
  <c r="D200" i="1"/>
  <c r="D204" i="1"/>
  <c r="D210" i="1"/>
  <c r="D216" i="1"/>
  <c r="D220" i="1"/>
  <c r="D224" i="1"/>
  <c r="D228" i="1"/>
  <c r="D232" i="1"/>
  <c r="D236" i="1"/>
  <c r="D241" i="1"/>
  <c r="E172" i="1"/>
  <c r="E177" i="1"/>
  <c r="E181" i="1"/>
  <c r="E185" i="1"/>
  <c r="E197" i="1"/>
  <c r="E202" i="1"/>
  <c r="E208" i="1"/>
  <c r="E198" i="1"/>
  <c r="E220" i="1"/>
  <c r="E224" i="1"/>
  <c r="E228" i="1"/>
  <c r="E234" i="1"/>
  <c r="E238" i="1"/>
  <c r="E231" i="1"/>
  <c r="E215" i="1"/>
  <c r="E187" i="1"/>
  <c r="E122" i="1"/>
  <c r="D212" i="1"/>
  <c r="E76" i="1"/>
  <c r="E78" i="1"/>
  <c r="D182" i="1"/>
  <c r="D156" i="1"/>
  <c r="D161" i="1"/>
  <c r="D165" i="1"/>
  <c r="D169" i="1"/>
  <c r="D173" i="1"/>
  <c r="D177" i="1"/>
  <c r="D181" i="1"/>
  <c r="D77" i="1"/>
  <c r="D183" i="1"/>
  <c r="D157" i="1"/>
  <c r="D162" i="1"/>
  <c r="D166" i="1"/>
  <c r="D170" i="1"/>
  <c r="D174" i="1"/>
  <c r="D178" i="1"/>
  <c r="E75" i="4"/>
  <c r="E162" i="4"/>
  <c r="E166" i="4"/>
  <c r="E74" i="4"/>
  <c r="E161" i="4"/>
  <c r="E156" i="4"/>
  <c r="E160" i="4"/>
  <c r="E164" i="4"/>
  <c r="E163" i="4"/>
  <c r="E167" i="4"/>
  <c r="E74" i="1"/>
  <c r="E75" i="1"/>
  <c r="D75" i="1"/>
  <c r="D74" i="1"/>
  <c r="E153" i="1"/>
  <c r="D151" i="1"/>
  <c r="D155" i="1"/>
  <c r="E162" i="1"/>
  <c r="E154" i="1"/>
  <c r="D150" i="1"/>
  <c r="D154" i="1"/>
  <c r="E161" i="1"/>
  <c r="E166" i="1"/>
  <c r="E155" i="1"/>
  <c r="D51" i="1"/>
  <c r="D153" i="1"/>
  <c r="E163" i="1"/>
  <c r="E158" i="1"/>
  <c r="E151" i="1"/>
  <c r="D152" i="1"/>
  <c r="E156" i="1"/>
  <c r="E164" i="1"/>
  <c r="E52" i="4"/>
  <c r="E60" i="4"/>
  <c r="E130" i="4"/>
  <c r="E134" i="4"/>
  <c r="E138" i="4"/>
  <c r="E141" i="4"/>
  <c r="E145" i="4"/>
  <c r="E149" i="4"/>
  <c r="E154" i="4"/>
  <c r="E55" i="4"/>
  <c r="E59" i="4"/>
  <c r="E70" i="4"/>
  <c r="E129" i="4"/>
  <c r="E133" i="4"/>
  <c r="E137" i="4"/>
  <c r="E140" i="4"/>
  <c r="E144" i="4"/>
  <c r="E148" i="4"/>
  <c r="E153" i="4"/>
  <c r="E53" i="4"/>
  <c r="E57" i="4"/>
  <c r="E61" i="4"/>
  <c r="E65" i="4"/>
  <c r="E68" i="4"/>
  <c r="E72" i="4"/>
  <c r="E127" i="4"/>
  <c r="E131" i="4"/>
  <c r="E135" i="4"/>
  <c r="E142" i="4"/>
  <c r="E146" i="4"/>
  <c r="E51" i="4"/>
  <c r="E151" i="4"/>
  <c r="E155" i="4"/>
  <c r="E56" i="4"/>
  <c r="E64" i="4"/>
  <c r="E71" i="4"/>
  <c r="E150" i="4"/>
  <c r="E63" i="4"/>
  <c r="E67" i="4"/>
  <c r="E54" i="4"/>
  <c r="E58" i="4"/>
  <c r="E62" i="4"/>
  <c r="E69" i="4"/>
  <c r="E73" i="4"/>
  <c r="E128" i="4"/>
  <c r="E132" i="4"/>
  <c r="E136" i="4"/>
  <c r="E139" i="4"/>
  <c r="E143" i="4"/>
  <c r="E147" i="4"/>
  <c r="D52" i="1"/>
  <c r="E58" i="1"/>
  <c r="E54" i="1"/>
  <c r="E68" i="1"/>
  <c r="E72" i="1"/>
  <c r="E127" i="1"/>
  <c r="E131" i="1"/>
  <c r="E135" i="1"/>
  <c r="E79" i="1"/>
  <c r="E143" i="1"/>
  <c r="D68" i="1"/>
  <c r="D72" i="1"/>
  <c r="D127" i="1"/>
  <c r="D131" i="1"/>
  <c r="D135" i="1"/>
  <c r="D79" i="1"/>
  <c r="D142" i="1"/>
  <c r="D146" i="1"/>
  <c r="E149" i="1"/>
  <c r="E51" i="1"/>
  <c r="E53" i="1"/>
  <c r="E67" i="1"/>
  <c r="E71" i="1"/>
  <c r="E130" i="1"/>
  <c r="E134" i="1"/>
  <c r="E138" i="1"/>
  <c r="E142" i="1"/>
  <c r="E144" i="1"/>
  <c r="D67" i="1"/>
  <c r="D71" i="1"/>
  <c r="D122" i="1"/>
  <c r="D130" i="1"/>
  <c r="D134" i="1"/>
  <c r="D138" i="1"/>
  <c r="D141" i="1"/>
  <c r="D145" i="1"/>
  <c r="E145" i="1"/>
  <c r="D149" i="1"/>
  <c r="E152" i="1"/>
  <c r="D64" i="1"/>
  <c r="D60" i="1"/>
  <c r="E65" i="1"/>
  <c r="E70" i="1"/>
  <c r="E129" i="1"/>
  <c r="E133" i="1"/>
  <c r="E137" i="1"/>
  <c r="E141" i="1"/>
  <c r="E146" i="1"/>
  <c r="D121" i="1"/>
  <c r="D129" i="1"/>
  <c r="D133" i="1"/>
  <c r="D137" i="1"/>
  <c r="D140" i="1"/>
  <c r="D144" i="1"/>
  <c r="D148" i="1"/>
  <c r="E148" i="1"/>
  <c r="D56" i="1"/>
  <c r="D65" i="1"/>
  <c r="E69" i="1"/>
  <c r="E73" i="1"/>
  <c r="E128" i="1"/>
  <c r="E132" i="1"/>
  <c r="E136" i="1"/>
  <c r="E139" i="1"/>
  <c r="E140" i="1"/>
  <c r="D69" i="1"/>
  <c r="D73" i="1"/>
  <c r="D128" i="1"/>
  <c r="D132" i="1"/>
  <c r="D136" i="1"/>
  <c r="D139" i="1"/>
  <c r="D143" i="1"/>
  <c r="D147" i="1"/>
  <c r="E147" i="1"/>
  <c r="E150" i="1"/>
  <c r="D55" i="1"/>
  <c r="D59" i="1"/>
  <c r="D63" i="1"/>
  <c r="E57" i="1"/>
  <c r="E61" i="1"/>
  <c r="D54" i="1"/>
  <c r="D58" i="1"/>
  <c r="D62" i="1"/>
  <c r="E52" i="1"/>
  <c r="E56" i="1"/>
  <c r="E60" i="1"/>
  <c r="E64" i="1"/>
  <c r="D53" i="1"/>
  <c r="D57" i="1"/>
  <c r="D61" i="1"/>
  <c r="E55" i="1"/>
  <c r="E59" i="1"/>
  <c r="E63" i="1"/>
</calcChain>
</file>

<file path=xl/comments1.xml><?xml version="1.0" encoding="utf-8"?>
<comments xmlns="http://schemas.openxmlformats.org/spreadsheetml/2006/main">
  <authors>
    <author>Autor</author>
  </authors>
  <commentList>
    <comment ref="E235" authorId="0" shapeId="0">
      <text>
        <r>
          <rPr>
            <b/>
            <sz val="9"/>
            <color indexed="81"/>
            <rFont val="Tahoma"/>
            <charset val="1"/>
          </rPr>
          <t xml:space="preserve">Autor:
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E235" authorId="0" shapeId="0">
      <text>
        <r>
          <rPr>
            <b/>
            <sz val="9"/>
            <color indexed="81"/>
            <rFont val="Tahoma"/>
            <charset val="1"/>
          </rPr>
          <t xml:space="preserve">Autor:
</t>
        </r>
      </text>
    </comment>
  </commentList>
</comments>
</file>

<file path=xl/sharedStrings.xml><?xml version="1.0" encoding="utf-8"?>
<sst xmlns="http://schemas.openxmlformats.org/spreadsheetml/2006/main" count="838" uniqueCount="156">
  <si>
    <t xml:space="preserve">      'en-us'</t>
  </si>
  <si>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</si>
  <si>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</si>
  <si>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</si>
  <si>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</si>
  <si>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</si>
  <si>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</si>
  <si>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</si>
  <si>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</si>
  <si>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</si>
  <si>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</si>
  <si>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</si>
  <si>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</si>
  <si>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</si>
  <si>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</si>
  <si>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</si>
  <si>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</si>
  <si>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</si>
  <si>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</si>
  <si>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</si>
  <si>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</si>
  <si>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</si>
  <si>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</si>
  <si>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</si>
  <si>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</si>
  <si>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</si>
  <si>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</si>
  <si>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</si>
  <si>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</si>
  <si>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</si>
  <si>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</si>
  <si>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</si>
  <si>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</si>
  <si>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</si>
  <si>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</si>
  <si>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</si>
  <si>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</si>
  <si>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</si>
  <si>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</si>
  <si>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</si>
  <si>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</si>
  <si>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</si>
  <si>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</si>
  <si>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</si>
  <si>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</si>
  <si>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</si>
  <si>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</si>
  <si>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</si>
  <si>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</si>
  <si>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</si>
  <si>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</si>
  <si>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</si>
  <si>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</si>
  <si>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</si>
  <si>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</si>
  <si>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</si>
  <si>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</si>
  <si>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</si>
  <si>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</si>
  <si>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</si>
  <si>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</si>
  <si>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</si>
  <si>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</si>
  <si>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</si>
  <si>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</si>
  <si>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</si>
  <si>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</si>
  <si>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</si>
  <si>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</si>
  <si>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</si>
  <si>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</si>
  <si>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</si>
  <si>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</si>
  <si>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</si>
  <si>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</si>
  <si>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</si>
  <si>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</si>
  <si>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</si>
  <si>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</si>
  <si>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</si>
  <si>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</si>
  <si>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</si>
  <si>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</si>
  <si>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</si>
  <si>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</si>
  <si>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</si>
  <si>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</si>
  <si>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</si>
  <si>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</si>
  <si>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</si>
  <si>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</si>
  <si>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</si>
  <si>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</si>
  <si>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</si>
  <si>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</si>
  <si>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</si>
  <si>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</si>
  <si>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  'pt-br'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</si>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</sst>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317"/>
  <sheetViews>
    <sheetView tabSelected="1" topLeftCell="A290" workbookViewId="0">
      <selection activeCell="F315" sqref="F315:F317"/>
    </sheetView>
  </sheetViews>
  <sheetFormatPr defaultRowHeight="15" x14ac:dyDescent="0.25"/>
  <cols>
    <col min="1" max="1" width="8.85546875" customWidth="1"/>
    <col min="2" max="2" width="11.140625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 x14ac:dyDescent="0.25">
      <c r="A1">
        <v>1001</v>
      </c>
      <c r="B1" t="s">
        <v>0</v>
      </c>
      <c r="C1" t="str">
        <f>"'" &amp; A1 &amp; "'"</f>
        <v>'1001'</v>
      </c>
      <c r="D1" t="s">
        <v>1</v>
      </c>
      <c r="E1" t="s">
        <v>2</v>
      </c>
      <c r="F1" t="str">
        <f>"insert into sysLocalizationText Values(" &amp;A1 &amp; "," &amp; B1 &amp; "," &amp;C1 &amp; "," &amp; D1 &amp; "," &amp; E1 &amp; ",getdate(),getdate())"</f>
        <v>insert into sysLocalizationText Values(1001,      'en-us','1001',     'Execution-Error',    'Execution error',getdate(),getdate())</v>
      </c>
      <c r="N1" t="str">
        <f>"'"</f>
        <v>'</v>
      </c>
    </row>
    <row r="2" spans="1:14" x14ac:dyDescent="0.25">
      <c r="A2">
        <v>1002</v>
      </c>
      <c r="B2" t="s">
        <v>0</v>
      </c>
      <c r="C2" t="str">
        <f t="shared" ref="C2:C65" si="0">"'" &amp; A2 &amp; "'"</f>
        <v>'1002'</v>
      </c>
      <c r="D2" t="s">
        <v>3</v>
      </c>
      <c r="E2" t="s">
        <v>4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Values(1002,      'en-us','1002',     'Validation-Error',    'Data validation error.',getdate(),getdate())</v>
      </c>
    </row>
    <row r="3" spans="1:14" x14ac:dyDescent="0.25">
      <c r="A3">
        <v>1003</v>
      </c>
      <c r="B3" t="s">
        <v>0</v>
      </c>
      <c r="C3" t="str">
        <f t="shared" si="0"/>
        <v>'1003'</v>
      </c>
      <c r="D3" t="s">
        <v>5</v>
      </c>
      <c r="E3" t="s">
        <v>6</v>
      </c>
      <c r="F3" t="str">
        <f t="shared" si="1"/>
        <v>insert into sysLocalizationText Values(1003,      'en-us','1003',     'Record-NotFound',    'The requested record was not found.',getdate(),getdate())</v>
      </c>
    </row>
    <row r="4" spans="1:14" x14ac:dyDescent="0.25">
      <c r="A4">
        <v>1004</v>
      </c>
      <c r="B4" t="s">
        <v>0</v>
      </c>
      <c r="C4" t="str">
        <f t="shared" si="0"/>
        <v>'1004'</v>
      </c>
      <c r="D4" t="s">
        <v>7</v>
      </c>
      <c r="E4" t="s">
        <v>8</v>
      </c>
      <c r="F4" t="str">
        <f t="shared" si="1"/>
        <v>insert into sysLocalizationText Values(1004,      'en-us','1004',     'Login-Invalid-Password',    'Invalid password. You still have 0 attempts before the account is deactivated.',getdate(),getdate())</v>
      </c>
    </row>
    <row r="5" spans="1:14" x14ac:dyDescent="0.25">
      <c r="A5">
        <v>1005</v>
      </c>
      <c r="B5" t="s">
        <v>0</v>
      </c>
      <c r="C5" t="str">
        <f t="shared" si="0"/>
        <v>'1005'</v>
      </c>
      <c r="D5" t="s">
        <v>9</v>
      </c>
      <c r="E5" t="s">
        <v>10</v>
      </c>
      <c r="F5" t="str">
        <f t="shared" si="1"/>
        <v>insert into sysLocalizationText Values(1005,      'en-us','1005',     'Login-Attempts',    'You have already used access attempts and the account has been disabled. Request activation.',getdate(),getdate())</v>
      </c>
    </row>
    <row r="6" spans="1:14" x14ac:dyDescent="0.25">
      <c r="A6">
        <v>1006</v>
      </c>
      <c r="B6" t="s">
        <v>0</v>
      </c>
      <c r="C6" t="str">
        <f t="shared" si="0"/>
        <v>'1006'</v>
      </c>
      <c r="D6" t="s">
        <v>11</v>
      </c>
      <c r="E6" t="s">
        <v>12</v>
      </c>
      <c r="F6" t="str">
        <f t="shared" si="1"/>
        <v>insert into sysLocalizationText Values(1006,      'en-us','1006',     'Login-Inactive-Account',    'The account associated with the User is not active. Request account activation.',getdate(),getdate())</v>
      </c>
    </row>
    <row r="7" spans="1:14" x14ac:dyDescent="0.25">
      <c r="A7">
        <v>1007</v>
      </c>
      <c r="B7" t="s">
        <v>0</v>
      </c>
      <c r="C7" t="str">
        <f t="shared" si="0"/>
        <v>'1007'</v>
      </c>
      <c r="D7" t="s">
        <v>13</v>
      </c>
      <c r="E7" t="s">
        <v>14</v>
      </c>
      <c r="F7" t="str">
        <f t="shared" si="1"/>
        <v>insert into sysLocalizationText Values(1007,      'en-us','1007',     'Login-Locked-Account',    'The account associated with the User is locked out. Contact your system administrator.',getdate(),getdate())</v>
      </c>
    </row>
    <row r="8" spans="1:14" x14ac:dyDescent="0.25">
      <c r="A8">
        <v>1008</v>
      </c>
      <c r="B8" t="s">
        <v>0</v>
      </c>
      <c r="C8" t="str">
        <f t="shared" si="0"/>
        <v>'1008'</v>
      </c>
      <c r="D8" t="s">
        <v>15</v>
      </c>
      <c r="E8" t="s">
        <v>16</v>
      </c>
      <c r="F8" t="str">
        <f t="shared" si="1"/>
        <v>insert into sysLocalizationText Values(1008,      'en-us','1008',     'Login-User-NotFound',    'User not found.',getdate(),getdate())</v>
      </c>
    </row>
    <row r="9" spans="1:14" x14ac:dyDescent="0.25">
      <c r="A9">
        <v>1009</v>
      </c>
      <c r="B9" t="s">
        <v>0</v>
      </c>
      <c r="C9" t="str">
        <f t="shared" si="0"/>
        <v>'1009'</v>
      </c>
      <c r="D9" t="s">
        <v>17</v>
      </c>
      <c r="E9" t="s">
        <v>18</v>
      </c>
      <c r="F9" t="str">
        <f t="shared" si="1"/>
        <v>insert into sysLocalizationText Values(1009,      'en-us','1009',     'User-Exists',    'There is already a user with the email',getdate(),getdate())</v>
      </c>
    </row>
    <row r="10" spans="1:14" x14ac:dyDescent="0.25">
      <c r="A10">
        <v>1010</v>
      </c>
      <c r="B10" t="s">
        <v>0</v>
      </c>
      <c r="C10" t="str">
        <f t="shared" si="0"/>
        <v>'1010'</v>
      </c>
      <c r="D10" t="s">
        <v>19</v>
      </c>
      <c r="E10" t="s">
        <v>20</v>
      </c>
      <c r="F10" t="str">
        <f t="shared" si="1"/>
        <v>insert into sysLocalizationText Values(1010,      'en-us','1010',     'Email-Exists',    'The email you entered already exists.',getdate(),getdate())</v>
      </c>
    </row>
    <row r="11" spans="1:14" x14ac:dyDescent="0.25">
      <c r="A11">
        <v>1011</v>
      </c>
      <c r="B11" t="s">
        <v>0</v>
      </c>
      <c r="C11" t="str">
        <f t="shared" si="0"/>
        <v>'1011'</v>
      </c>
      <c r="D11" t="s">
        <v>21</v>
      </c>
      <c r="E11" t="s">
        <v>22</v>
      </c>
      <c r="F11" t="str">
        <f t="shared" si="1"/>
        <v>insert into sysLocalizationText Values(1011,      'en-us','1011',     'Profile-NotBe-Null',    'The Profile cannot be null.',getdate(),getdate())</v>
      </c>
    </row>
    <row r="12" spans="1:14" x14ac:dyDescent="0.25">
      <c r="A12">
        <v>1012</v>
      </c>
      <c r="B12" t="s">
        <v>0</v>
      </c>
      <c r="C12" t="str">
        <f t="shared" si="0"/>
        <v>'1012'</v>
      </c>
      <c r="D12" t="s">
        <v>23</v>
      </c>
      <c r="E12" t="s">
        <v>24</v>
      </c>
      <c r="F12" t="str">
        <f t="shared" si="1"/>
        <v>insert into sysLocalizationText Values(1012,      'en-us','1012',     'User-Error-Exclude-Childs',    'There was an error deleting child items (Roles).',getdate(),getdate())</v>
      </c>
    </row>
    <row r="13" spans="1:14" x14ac:dyDescent="0.25">
      <c r="A13">
        <v>1013</v>
      </c>
      <c r="B13" t="s">
        <v>0</v>
      </c>
      <c r="C13" t="str">
        <f t="shared" si="0"/>
        <v>'1013'</v>
      </c>
      <c r="D13" t="s">
        <v>25</v>
      </c>
      <c r="E13" t="s">
        <v>26</v>
      </c>
      <c r="F13" t="str">
        <f t="shared" si="1"/>
        <v>insert into sysLocalizationText Values(1013,      'en-us','1013',     'User-Invalid-Password-Code',    'The password exchange authorization code is invalid.',getdate(),getdate())</v>
      </c>
    </row>
    <row r="14" spans="1:14" x14ac:dyDescent="0.25">
      <c r="A14">
        <v>1014</v>
      </c>
      <c r="B14" t="s">
        <v>0</v>
      </c>
      <c r="C14" t="str">
        <f t="shared" si="0"/>
        <v>'1014'</v>
      </c>
      <c r="D14" t="s">
        <v>27</v>
      </c>
      <c r="E14" t="s">
        <v>28</v>
      </c>
      <c r="F14" t="str">
        <f t="shared" si="1"/>
        <v>insert into sysLocalizationText Values(1014,      'en-us','1014',     'Account-Active',    'The account associated with the User is already active.',getdate(),getdate())</v>
      </c>
    </row>
    <row r="15" spans="1:14" x14ac:dyDescent="0.25">
      <c r="A15">
        <v>1015</v>
      </c>
      <c r="B15" t="s">
        <v>0</v>
      </c>
      <c r="C15" t="str">
        <f t="shared" si="0"/>
        <v>'1015'</v>
      </c>
      <c r="D15" t="s">
        <v>29</v>
      </c>
      <c r="E15" t="s">
        <v>30</v>
      </c>
      <c r="F15" t="str">
        <f t="shared" si="1"/>
        <v>insert into sysLocalizationText Values(1015,      'en-us','1015',     'User-Invalid-Activation-Code',    'The activation authorization code is invalid.',getdate(),getdate())</v>
      </c>
    </row>
    <row r="16" spans="1:14" x14ac:dyDescent="0.25">
      <c r="A16">
        <v>1016</v>
      </c>
      <c r="B16" t="s">
        <v>0</v>
      </c>
      <c r="C16" t="str">
        <f t="shared" si="0"/>
        <v>'1016'</v>
      </c>
      <c r="D16" t="s">
        <v>31</v>
      </c>
      <c r="E16" t="s">
        <v>32</v>
      </c>
      <c r="F16" t="str">
        <f t="shared" si="1"/>
        <v>insert into sysLocalizationText Values(1016,      'en-us','1016',     'User-No-Image',    'Send the image file.',getdate(),getdate())</v>
      </c>
    </row>
    <row r="17" spans="1:6" x14ac:dyDescent="0.25">
      <c r="A17">
        <v>1017</v>
      </c>
      <c r="B17" t="s">
        <v>0</v>
      </c>
      <c r="C17" t="str">
        <f t="shared" si="0"/>
        <v>'1017'</v>
      </c>
      <c r="D17" t="s">
        <v>33</v>
      </c>
      <c r="E17" t="s">
        <v>34</v>
      </c>
      <c r="F17" t="str">
        <f t="shared" si="1"/>
        <v>insert into sysLocalizationText Values(1017,      'en-us','1017',     'User-Role-Exists',    'This Role is already associated with the user.',getdate(),getdate())</v>
      </c>
    </row>
    <row r="18" spans="1:6" x14ac:dyDescent="0.25">
      <c r="A18">
        <v>1018</v>
      </c>
      <c r="B18" t="s">
        <v>0</v>
      </c>
      <c r="C18" t="str">
        <f t="shared" si="0"/>
        <v>'1018'</v>
      </c>
      <c r="D18" t="s">
        <v>35</v>
      </c>
      <c r="E18" t="s">
        <v>36</v>
      </c>
      <c r="F18" t="str">
        <f t="shared" si="1"/>
        <v>insert into sysLocalizationText Values(1018,      'en-us','1018',     'User-Role-No-Exists',    'This Role does not belong to the user.',getdate(),getdate())</v>
      </c>
    </row>
    <row r="19" spans="1:6" x14ac:dyDescent="0.25">
      <c r="A19">
        <v>1019</v>
      </c>
      <c r="B19" t="s">
        <v>0</v>
      </c>
      <c r="C19" t="str">
        <f t="shared" si="0"/>
        <v>'1019'</v>
      </c>
      <c r="D19" t="s">
        <v>37</v>
      </c>
      <c r="E19" t="s">
        <v>38</v>
      </c>
      <c r="F19" t="str">
        <f t="shared" si="1"/>
        <v>insert into sysLocalizationText Values(1019,      'en-us','1019',     'Http-Unauthorized',    'Unauthorized access',getdate(),getdate())</v>
      </c>
    </row>
    <row r="20" spans="1:6" x14ac:dyDescent="0.25">
      <c r="A20">
        <v>1020</v>
      </c>
      <c r="B20" t="s">
        <v>0</v>
      </c>
      <c r="C20" t="str">
        <f t="shared" si="0"/>
        <v>'1020'</v>
      </c>
      <c r="D20" t="s">
        <v>39</v>
      </c>
      <c r="E20" t="s">
        <v>40</v>
      </c>
      <c r="F20" t="str">
        <f t="shared" si="1"/>
        <v>insert into sysLocalizationText Values(1020,      'en-us','1020',     'Http-NotFound',    'The resource could not be found',getdate(),getdate())</v>
      </c>
    </row>
    <row r="21" spans="1:6" x14ac:dyDescent="0.25">
      <c r="A21">
        <v>1021</v>
      </c>
      <c r="B21" t="s">
        <v>0</v>
      </c>
      <c r="C21" t="str">
        <f t="shared" si="0"/>
        <v>'1021'</v>
      </c>
      <c r="D21" t="s">
        <v>41</v>
      </c>
      <c r="E21" t="s">
        <v>42</v>
      </c>
      <c r="F21" t="str">
        <f t="shared" si="1"/>
        <v>insert into sysLocalizationText Values(1021,      'en-us','1021',     'Http-Forbidden',    'User profile without access permission.',getdate(),getdate())</v>
      </c>
    </row>
    <row r="22" spans="1:6" x14ac:dyDescent="0.25">
      <c r="A22">
        <v>1022</v>
      </c>
      <c r="B22" t="s">
        <v>0</v>
      </c>
      <c r="C22" t="str">
        <f t="shared" si="0"/>
        <v>'1022'</v>
      </c>
      <c r="D22" t="s">
        <v>43</v>
      </c>
      <c r="E22" t="s">
        <v>44</v>
      </c>
      <c r="F22" t="str">
        <f t="shared" si="1"/>
        <v>insert into sysLocalizationText Values(1022,      'en-us','1022',     'Http-500Error',    'An error occurred in the processing of the request.',getdate(),getdate())</v>
      </c>
    </row>
    <row r="23" spans="1:6" x14ac:dyDescent="0.25">
      <c r="A23">
        <v>1023</v>
      </c>
      <c r="B23" t="s">
        <v>0</v>
      </c>
      <c r="C23" t="str">
        <f t="shared" si="0"/>
        <v>'1023'</v>
      </c>
      <c r="D23" t="s">
        <v>45</v>
      </c>
      <c r="E23" t="s">
        <v>46</v>
      </c>
      <c r="F23" t="str">
        <f t="shared" si="1"/>
        <v>insert into sysLocalizationText Values(1023,      'en-us','1023',     'Http-ServiceUnavailable',    'The requested service is unavailable.',getdate(),getdate())</v>
      </c>
    </row>
    <row r="24" spans="1:6" x14ac:dyDescent="0.25">
      <c r="A24">
        <v>1024</v>
      </c>
      <c r="B24" t="s">
        <v>0</v>
      </c>
      <c r="C24" t="str">
        <f t="shared" si="0"/>
        <v>'1024'</v>
      </c>
      <c r="D24" t="s">
        <v>47</v>
      </c>
      <c r="E24" t="s">
        <v>48</v>
      </c>
      <c r="F24" t="str">
        <f t="shared" si="1"/>
        <v>insert into sysLocalizationText Values(1024,      'en-us','1024',     'API-Unexpected-Exception',    'Unexpected error not identified GetInnerExceptions@f2]',getdate(),getdate())</v>
      </c>
    </row>
    <row r="25" spans="1:6" x14ac:dyDescent="0.25">
      <c r="A25">
        <v>1025</v>
      </c>
      <c r="B25" t="s">
        <v>0</v>
      </c>
      <c r="C25" t="str">
        <f t="shared" si="0"/>
        <v>'1025'</v>
      </c>
      <c r="D25" t="s">
        <v>49</v>
      </c>
      <c r="E25" t="s">
        <v>50</v>
      </c>
      <c r="F25" t="str">
        <f t="shared" si="1"/>
        <v>insert into sysLocalizationText Values(1025,      'en-us','1025',     'ShortDayName-1',    'Sun',getdate(),getdate())</v>
      </c>
    </row>
    <row r="26" spans="1:6" x14ac:dyDescent="0.25">
      <c r="A26">
        <v>1026</v>
      </c>
      <c r="B26" t="s">
        <v>0</v>
      </c>
      <c r="C26" t="str">
        <f t="shared" si="0"/>
        <v>'1026'</v>
      </c>
      <c r="D26" t="s">
        <v>51</v>
      </c>
      <c r="E26" t="s">
        <v>52</v>
      </c>
      <c r="F26" t="str">
        <f t="shared" si="1"/>
        <v>insert into sysLocalizationText Values(1026,      'en-us','1026',     'ShortDayName-2',    'Mon',getdate(),getdate())</v>
      </c>
    </row>
    <row r="27" spans="1:6" x14ac:dyDescent="0.25">
      <c r="A27">
        <v>1027</v>
      </c>
      <c r="B27" t="s">
        <v>0</v>
      </c>
      <c r="C27" t="str">
        <f t="shared" si="0"/>
        <v>'1027'</v>
      </c>
      <c r="D27" t="s">
        <v>53</v>
      </c>
      <c r="E27" t="s">
        <v>54</v>
      </c>
      <c r="F27" t="str">
        <f t="shared" si="1"/>
        <v>insert into sysLocalizationText Values(1027,      'en-us','1027',     'ShortDayName-3',    'Tue',getdate(),getdate())</v>
      </c>
    </row>
    <row r="28" spans="1:6" x14ac:dyDescent="0.25">
      <c r="A28">
        <v>1028</v>
      </c>
      <c r="B28" t="s">
        <v>0</v>
      </c>
      <c r="C28" t="str">
        <f t="shared" si="0"/>
        <v>'1028'</v>
      </c>
      <c r="D28" t="s">
        <v>55</v>
      </c>
      <c r="E28" t="s">
        <v>56</v>
      </c>
      <c r="F28" t="str">
        <f t="shared" si="1"/>
        <v>insert into sysLocalizationText Values(1028,      'en-us','1028',     'ShortDayName-4',    'Wed',getdate(),getdate())</v>
      </c>
    </row>
    <row r="29" spans="1:6" x14ac:dyDescent="0.25">
      <c r="A29">
        <v>1029</v>
      </c>
      <c r="B29" t="s">
        <v>0</v>
      </c>
      <c r="C29" t="str">
        <f t="shared" si="0"/>
        <v>'1029'</v>
      </c>
      <c r="D29" t="s">
        <v>57</v>
      </c>
      <c r="E29" t="s">
        <v>58</v>
      </c>
      <c r="F29" t="str">
        <f t="shared" si="1"/>
        <v>insert into sysLocalizationText Values(1029,      'en-us','1029',     'ShortDayName-5',    'Thu',getdate(),getdate())</v>
      </c>
    </row>
    <row r="30" spans="1:6" x14ac:dyDescent="0.25">
      <c r="A30">
        <v>1030</v>
      </c>
      <c r="B30" t="s">
        <v>0</v>
      </c>
      <c r="C30" t="str">
        <f t="shared" si="0"/>
        <v>'1030'</v>
      </c>
      <c r="D30" t="s">
        <v>59</v>
      </c>
      <c r="E30" t="s">
        <v>60</v>
      </c>
      <c r="F30" t="str">
        <f t="shared" si="1"/>
        <v>insert into sysLocalizationText Values(1030,      'en-us','1030',     'ShortDayName-6',    'Fri',getdate(),getdate())</v>
      </c>
    </row>
    <row r="31" spans="1:6" x14ac:dyDescent="0.25">
      <c r="A31">
        <v>1031</v>
      </c>
      <c r="B31" t="s">
        <v>0</v>
      </c>
      <c r="C31" t="str">
        <f t="shared" si="0"/>
        <v>'1031'</v>
      </c>
      <c r="D31" t="s">
        <v>61</v>
      </c>
      <c r="E31" t="s">
        <v>62</v>
      </c>
      <c r="F31" t="str">
        <f t="shared" si="1"/>
        <v>insert into sysLocalizationText Values(1031,      'en-us','1031',     'ShortDayName-7',    'Sat'  ,getdate(),getdate())</v>
      </c>
    </row>
    <row r="32" spans="1:6" x14ac:dyDescent="0.25">
      <c r="A32">
        <v>1032</v>
      </c>
      <c r="B32" t="s">
        <v>0</v>
      </c>
      <c r="C32" t="str">
        <f t="shared" si="0"/>
        <v>'1032'</v>
      </c>
      <c r="D32" t="s">
        <v>63</v>
      </c>
      <c r="E32" t="s">
        <v>64</v>
      </c>
      <c r="F32" t="str">
        <f t="shared" si="1"/>
        <v>insert into sysLocalizationText Values(1032,      'en-us','1032',     'MonthName-1',    'JANUARY',getdate(),getdate())</v>
      </c>
    </row>
    <row r="33" spans="1:6" x14ac:dyDescent="0.25">
      <c r="A33">
        <v>1033</v>
      </c>
      <c r="B33" t="s">
        <v>0</v>
      </c>
      <c r="C33" t="str">
        <f t="shared" si="0"/>
        <v>'1033'</v>
      </c>
      <c r="D33" t="s">
        <v>65</v>
      </c>
      <c r="E33" t="s">
        <v>66</v>
      </c>
      <c r="F33" t="str">
        <f t="shared" si="1"/>
        <v>insert into sysLocalizationText Values(1033,      'en-us','1033',     'MonthName-2',    'FEBRUARY',getdate(),getdate())</v>
      </c>
    </row>
    <row r="34" spans="1:6" x14ac:dyDescent="0.25">
      <c r="A34">
        <v>1034</v>
      </c>
      <c r="B34" t="s">
        <v>0</v>
      </c>
      <c r="C34" t="str">
        <f t="shared" si="0"/>
        <v>'1034'</v>
      </c>
      <c r="D34" t="s">
        <v>67</v>
      </c>
      <c r="E34" t="s">
        <v>68</v>
      </c>
      <c r="F34" t="str">
        <f t="shared" si="1"/>
        <v>insert into sysLocalizationText Values(1034,      'en-us','1034',     'MonthName-3',    'MARCH',getdate(),getdate())</v>
      </c>
    </row>
    <row r="35" spans="1:6" x14ac:dyDescent="0.25">
      <c r="A35">
        <v>1035</v>
      </c>
      <c r="B35" t="s">
        <v>0</v>
      </c>
      <c r="C35" t="str">
        <f t="shared" si="0"/>
        <v>'1035'</v>
      </c>
      <c r="D35" t="s">
        <v>69</v>
      </c>
      <c r="E35" t="s">
        <v>70</v>
      </c>
      <c r="F35" t="str">
        <f t="shared" si="1"/>
        <v>insert into sysLocalizationText Values(1035,      'en-us','1035',     'MonthName-4',    'APRIL',getdate(),getdate())</v>
      </c>
    </row>
    <row r="36" spans="1:6" x14ac:dyDescent="0.25">
      <c r="A36">
        <v>1036</v>
      </c>
      <c r="B36" t="s">
        <v>0</v>
      </c>
      <c r="C36" t="str">
        <f t="shared" si="0"/>
        <v>'1036'</v>
      </c>
      <c r="D36" t="s">
        <v>71</v>
      </c>
      <c r="E36" t="s">
        <v>72</v>
      </c>
      <c r="F36" t="str">
        <f t="shared" si="1"/>
        <v>insert into sysLocalizationText Values(1036,      'en-us','1036',     'MonthName-5',    'MAY',getdate(),getdate())</v>
      </c>
    </row>
    <row r="37" spans="1:6" x14ac:dyDescent="0.25">
      <c r="A37">
        <v>1037</v>
      </c>
      <c r="B37" t="s">
        <v>0</v>
      </c>
      <c r="C37" t="str">
        <f t="shared" si="0"/>
        <v>'1037'</v>
      </c>
      <c r="D37" t="s">
        <v>73</v>
      </c>
      <c r="E37" t="s">
        <v>74</v>
      </c>
      <c r="F37" t="str">
        <f t="shared" si="1"/>
        <v>insert into sysLocalizationText Values(1037,      'en-us','1037',     'MonthName-6',    'JUNE',getdate(),getdate())</v>
      </c>
    </row>
    <row r="38" spans="1:6" x14ac:dyDescent="0.25">
      <c r="A38">
        <v>1038</v>
      </c>
      <c r="B38" t="s">
        <v>0</v>
      </c>
      <c r="C38" t="str">
        <f t="shared" si="0"/>
        <v>'1038'</v>
      </c>
      <c r="D38" t="s">
        <v>75</v>
      </c>
      <c r="E38" t="s">
        <v>76</v>
      </c>
      <c r="F38" t="str">
        <f t="shared" si="1"/>
        <v>insert into sysLocalizationText Values(1038,      'en-us','1038',     'MonthName-7',    'JULY',getdate(),getdate())</v>
      </c>
    </row>
    <row r="39" spans="1:6" x14ac:dyDescent="0.25">
      <c r="A39">
        <v>1039</v>
      </c>
      <c r="B39" t="s">
        <v>0</v>
      </c>
      <c r="C39" t="str">
        <f t="shared" si="0"/>
        <v>'1039'</v>
      </c>
      <c r="D39" t="s">
        <v>77</v>
      </c>
      <c r="E39" t="s">
        <v>78</v>
      </c>
      <c r="F39" t="str">
        <f t="shared" si="1"/>
        <v>insert into sysLocalizationText Values(1039,      'en-us','1039',     'MonthName-8',    'AUGUST',getdate(),getdate())</v>
      </c>
    </row>
    <row r="40" spans="1:6" x14ac:dyDescent="0.25">
      <c r="A40">
        <v>1040</v>
      </c>
      <c r="B40" t="s">
        <v>0</v>
      </c>
      <c r="C40" t="str">
        <f t="shared" si="0"/>
        <v>'1040'</v>
      </c>
      <c r="D40" t="s">
        <v>79</v>
      </c>
      <c r="E40" t="s">
        <v>80</v>
      </c>
      <c r="F40" t="str">
        <f t="shared" si="1"/>
        <v>insert into sysLocalizationText Values(1040,      'en-us','1040',     'MonthName-9',    'SEPTEMBER',getdate(),getdate())</v>
      </c>
    </row>
    <row r="41" spans="1:6" x14ac:dyDescent="0.25">
      <c r="A41">
        <v>1041</v>
      </c>
      <c r="B41" t="s">
        <v>0</v>
      </c>
      <c r="C41" t="str">
        <f t="shared" si="0"/>
        <v>'1041'</v>
      </c>
      <c r="D41" t="s">
        <v>81</v>
      </c>
      <c r="E41" t="s">
        <v>82</v>
      </c>
      <c r="F41" t="str">
        <f t="shared" si="1"/>
        <v>insert into sysLocalizationText Values(1041,      'en-us','1041',     'MonthName-10',    'OCTOBER',getdate(),getdate())</v>
      </c>
    </row>
    <row r="42" spans="1:6" x14ac:dyDescent="0.25">
      <c r="A42">
        <v>1042</v>
      </c>
      <c r="B42" t="s">
        <v>0</v>
      </c>
      <c r="C42" t="str">
        <f t="shared" si="0"/>
        <v>'1042'</v>
      </c>
      <c r="D42" t="s">
        <v>83</v>
      </c>
      <c r="E42" t="s">
        <v>84</v>
      </c>
      <c r="F42" t="str">
        <f t="shared" si="1"/>
        <v>insert into sysLocalizationText Values(1042,      'en-us','1042',     'MonthName-11',    'NOVEMBER',getdate(),getdate())</v>
      </c>
    </row>
    <row r="43" spans="1:6" x14ac:dyDescent="0.25">
      <c r="A43">
        <v>1043</v>
      </c>
      <c r="B43" t="s">
        <v>0</v>
      </c>
      <c r="C43" t="str">
        <f t="shared" si="0"/>
        <v>'1043'</v>
      </c>
      <c r="D43" t="s">
        <v>85</v>
      </c>
      <c r="E43" t="s">
        <v>86</v>
      </c>
      <c r="F43" t="str">
        <f t="shared" si="1"/>
        <v>insert into sysLocalizationText Values(1043,      'en-us','1043',     'MonthName-12',    'DECEMBER',getdate(),getdate())</v>
      </c>
    </row>
    <row r="44" spans="1:6" x14ac:dyDescent="0.25">
      <c r="A44">
        <v>1044</v>
      </c>
      <c r="B44" t="s">
        <v>0</v>
      </c>
      <c r="C44" t="str">
        <f t="shared" si="0"/>
        <v>'1044'</v>
      </c>
      <c r="D44" t="s">
        <v>87</v>
      </c>
      <c r="E44" t="s">
        <v>88</v>
      </c>
      <c r="F44" t="str">
        <f t="shared" si="1"/>
        <v>insert into sysLocalizationText Values(1044,      'en-us','1044',     'Validation-NotNull',    'cannot be null.',getdate(),getdate())</v>
      </c>
    </row>
    <row r="45" spans="1:6" x14ac:dyDescent="0.25">
      <c r="A45">
        <v>1045</v>
      </c>
      <c r="B45" t="s">
        <v>0</v>
      </c>
      <c r="C45" t="str">
        <f t="shared" si="0"/>
        <v>'1045'</v>
      </c>
      <c r="D45" t="s">
        <v>89</v>
      </c>
      <c r="E45" t="s">
        <v>147</v>
      </c>
      <c r="F45" t="str">
        <f t="shared" si="1"/>
        <v>insert into sysLocalizationText Values(1045,      'en-us','1045',     'Validation-Max-Characters',    'The {0} field cannot have more than 1 characters.',getdate(),getdate())</v>
      </c>
    </row>
    <row r="46" spans="1:6" x14ac:dyDescent="0.25">
      <c r="A46">
        <v>1046</v>
      </c>
      <c r="B46" t="s">
        <v>0</v>
      </c>
      <c r="C46" t="str">
        <f t="shared" si="0"/>
        <v>'1046'</v>
      </c>
      <c r="D46" t="s">
        <v>90</v>
      </c>
      <c r="E46" t="s">
        <v>148</v>
      </c>
      <c r="F46" t="str">
        <f t="shared" si="1"/>
        <v>insert into sysLocalizationText Values(1046,      'en-us','1046',     'Validation-Invalid-Field',    'The {0} field is invalid.',getdate(),getdate())</v>
      </c>
    </row>
    <row r="47" spans="1:6" x14ac:dyDescent="0.25">
      <c r="A47">
        <v>1047</v>
      </c>
      <c r="B47" t="s">
        <v>0</v>
      </c>
      <c r="C47" t="str">
        <f t="shared" si="0"/>
        <v>'1047'</v>
      </c>
      <c r="D47" t="s">
        <v>91</v>
      </c>
      <c r="E47" t="s">
        <v>149</v>
      </c>
      <c r="F47" t="str">
        <f t="shared" si="1"/>
        <v>insert into sysLocalizationText Values(1047,      'en-us','1047',     'Validation-Invalid-UserName',    'The {0} field is invalid. Do not use special characters or spaces.',getdate(),getdate())</v>
      </c>
    </row>
    <row r="48" spans="1:6" x14ac:dyDescent="0.25">
      <c r="A48">
        <v>1048</v>
      </c>
      <c r="B48" t="s">
        <v>0</v>
      </c>
      <c r="C48" t="str">
        <f t="shared" si="0"/>
        <v>'1048'</v>
      </c>
      <c r="D48" t="s">
        <v>92</v>
      </c>
      <c r="E48" t="s">
        <v>150</v>
      </c>
      <c r="F48" t="str">
        <f t="shared" si="1"/>
        <v>insert into sysLocalizationText Values(1048,      'en-us','1048',     'Validation-Unique-Value',    'The {0} field is invalid. Value must be unique.',getdate(),getdate())</v>
      </c>
    </row>
    <row r="49" spans="1:6" x14ac:dyDescent="0.25">
      <c r="A49">
        <v>1049</v>
      </c>
      <c r="B49" t="s">
        <v>0</v>
      </c>
      <c r="C49" t="str">
        <f t="shared" si="0"/>
        <v>'1049'</v>
      </c>
      <c r="D49" t="s">
        <v>93</v>
      </c>
      <c r="E49" t="s">
        <v>94</v>
      </c>
      <c r="F49" t="str">
        <f t="shared" si="1"/>
        <v>insert into sysLocalizationText Values(1049,      'en-us','1049',     'User-Instance-Exists',    'This Instance is already associated with the user.',getdate(),getdate())</v>
      </c>
    </row>
    <row r="50" spans="1:6" x14ac:dyDescent="0.25">
      <c r="A50">
        <v>1050</v>
      </c>
      <c r="B50" t="s">
        <v>0</v>
      </c>
      <c r="C50" t="str">
        <f t="shared" si="0"/>
        <v>'1050'</v>
      </c>
      <c r="D50" t="s">
        <v>95</v>
      </c>
      <c r="E50" t="s">
        <v>96</v>
      </c>
      <c r="F50" t="str">
        <f t="shared" si="1"/>
        <v>insert into sysLocalizationText Values(1050,      'en-us','1050',     'User-Instance-No-Exists',    'This Instance does not belong to the user.',getdate(),getdate())</v>
      </c>
    </row>
    <row r="51" spans="1:6" x14ac:dyDescent="0.25">
      <c r="A51">
        <v>1051</v>
      </c>
      <c r="B51" t="s">
        <v>0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      'en-us','1051','User-PageTitle','User Management',getdate(),getdate())</v>
      </c>
    </row>
    <row r="52" spans="1:6" x14ac:dyDescent="0.25">
      <c r="A52">
        <v>1052</v>
      </c>
      <c r="B52" t="s">
        <v>0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      'en-us','1052','SearchButtonLabel','Search',getdate(),getdate())</v>
      </c>
    </row>
    <row r="53" spans="1:6" x14ac:dyDescent="0.25">
      <c r="A53">
        <v>1053</v>
      </c>
      <c r="B53" t="s">
        <v>0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      'en-us','1053','SearchingLabel','Searching...',getdate(),getdate())</v>
      </c>
    </row>
    <row r="54" spans="1:6" x14ac:dyDescent="0.25">
      <c r="A54">
        <v>1054</v>
      </c>
      <c r="B54" t="s">
        <v>0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      'en-us','1054','InsertingLoadingLabel','Inserting...',getdate(),getdate())</v>
      </c>
    </row>
    <row r="55" spans="1:6" x14ac:dyDescent="0.25">
      <c r="A55">
        <v>1055</v>
      </c>
      <c r="B55" t="s">
        <v>0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      'en-us','1055','SearchResultLabel','Search Result',getdate(),getdate())</v>
      </c>
    </row>
    <row r="56" spans="1:6" x14ac:dyDescent="0.25">
      <c r="A56">
        <v>1056</v>
      </c>
      <c r="B56" t="s">
        <v>0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      'en-us','1056','DetailsLabel','Details',getdate(),getdate())</v>
      </c>
    </row>
    <row r="57" spans="1:6" x14ac:dyDescent="0.25">
      <c r="A57">
        <v>1057</v>
      </c>
      <c r="B57" t="s">
        <v>0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      'en-us','1057','NoRecordsFound','No records was found',getdate(),getdate())</v>
      </c>
    </row>
    <row r="58" spans="1:6" x14ac:dyDescent="0.25">
      <c r="A58">
        <v>1058</v>
      </c>
      <c r="B58" t="s">
        <v>0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      'en-us','1058','LoadingPage','Loading. Wait...',getdate(),getdate())</v>
      </c>
    </row>
    <row r="59" spans="1:6" x14ac:dyDescent="0.25">
      <c r="A59">
        <v>1059</v>
      </c>
      <c r="B59" t="s">
        <v>0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      'en-us','1059','LoadingData','Loading Page. Wait...',getdate(),getdate())</v>
      </c>
    </row>
    <row r="60" spans="1:6" x14ac:dyDescent="0.25">
      <c r="A60">
        <v>1060</v>
      </c>
      <c r="B60" t="s">
        <v>0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      'en-us','1060','ErrorOnExecuteSearch','Error on execute search',getdate(),getdate())</v>
      </c>
    </row>
    <row r="61" spans="1:6" x14ac:dyDescent="0.25">
      <c r="A61">
        <v>1061</v>
      </c>
      <c r="B61" t="s">
        <v>0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      'en-us','1061','ErrorOnReturnData','Error on return data',getdate(),getdate())</v>
      </c>
    </row>
    <row r="62" spans="1:6" x14ac:dyDescent="0.25">
      <c r="A62">
        <v>1062</v>
      </c>
      <c r="B62" t="s">
        <v>0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      'en-us','1062','ErrorOnCreateNewRecord','Error on create record',getdate(),getdate())</v>
      </c>
    </row>
    <row r="63" spans="1:6" x14ac:dyDescent="0.25">
      <c r="A63">
        <v>1063</v>
      </c>
      <c r="B63" t="s">
        <v>0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      'en-us','1063','AfterSaveAnswering','The new record was created successfuly. Do you want inserting ?',getdate(),getdate())</v>
      </c>
    </row>
    <row r="64" spans="1:6" x14ac:dyDescent="0.25">
      <c r="A64">
        <v>1064</v>
      </c>
      <c r="B64" t="s">
        <v>0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      'en-us','1064','NoticeLabel','Notice',getdate(),getdate())</v>
      </c>
    </row>
    <row r="65" spans="1:6" x14ac:dyDescent="0.25">
      <c r="A65">
        <v>1065</v>
      </c>
      <c r="B65" t="s">
        <v>0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      'en-us','1065','SuccessLabel','Success',getdate(),getdate())</v>
      </c>
    </row>
    <row r="66" spans="1:6" x14ac:dyDescent="0.25">
      <c r="A66">
        <v>1066</v>
      </c>
      <c r="B66" t="s">
        <v>0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Values(1066,      'en-us','1066','SuccessSaveMessage','The record was saved successfuly.',getdate(),getdate())</v>
      </c>
    </row>
    <row r="67" spans="1:6" x14ac:dyDescent="0.25">
      <c r="A67">
        <v>1067</v>
      </c>
      <c r="B67" t="s">
        <v>0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      'en-us','1067','Email-Label','E-mail',getdate(),getdate())</v>
      </c>
    </row>
    <row r="68" spans="1:6" x14ac:dyDescent="0.25">
      <c r="A68">
        <v>1068</v>
      </c>
      <c r="B68" t="s">
        <v>0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      'en-us','1068','UserName-Label','User Name',getdate(),getdate())</v>
      </c>
    </row>
    <row r="69" spans="1:6" x14ac:dyDescent="0.25">
      <c r="A69">
        <v>1069</v>
      </c>
      <c r="B69" t="s">
        <v>0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      'en-us','1069','Password-Label','Password',getdate(),getdate())</v>
      </c>
    </row>
    <row r="70" spans="1:6" x14ac:dyDescent="0.25">
      <c r="A70">
        <v>1070</v>
      </c>
      <c r="B70" t="s">
        <v>0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      'en-us','1070','Instance-Label','Instance',getdate(),getdate())</v>
      </c>
    </row>
    <row r="71" spans="1:6" x14ac:dyDescent="0.25">
      <c r="A71">
        <v>1071</v>
      </c>
      <c r="B71" t="s">
        <v>0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      'en-us','1071','Role-Label','Role',getdate(),getdate())</v>
      </c>
    </row>
    <row r="72" spans="1:6" x14ac:dyDescent="0.25">
      <c r="A72">
        <v>1072</v>
      </c>
      <c r="B72" t="s">
        <v>0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      'en-us','1072','Yes-Text','Yes',getdate(),getdate())</v>
      </c>
    </row>
    <row r="73" spans="1:6" x14ac:dyDescent="0.25">
      <c r="A73">
        <v>1073</v>
      </c>
      <c r="B73" t="s">
        <v>0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      'en-us','1073','No-Text','No',getdate(),getdate())</v>
      </c>
    </row>
    <row r="74" spans="1:6" x14ac:dyDescent="0.25">
      <c r="A74">
        <v>1074</v>
      </c>
      <c r="B74" t="s">
        <v>0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      'en-us','1074','Saving-Label','Saving...',getdate(),getdate())</v>
      </c>
    </row>
    <row r="75" spans="1:6" x14ac:dyDescent="0.25">
      <c r="A75">
        <v>1075</v>
      </c>
      <c r="B75" t="s">
        <v>0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      'en-us','1075','Edit-Label','Edit',getdate(),getdate())</v>
      </c>
    </row>
    <row r="76" spans="1:6" x14ac:dyDescent="0.25">
      <c r="A76">
        <v>1076</v>
      </c>
      <c r="B76" t="s">
        <v>0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      'en-us','1076','Date-Label','Date',getdate(),getdate())</v>
      </c>
    </row>
    <row r="77" spans="1:6" x14ac:dyDescent="0.25">
      <c r="A77">
        <v>1077</v>
      </c>
      <c r="B77" t="s">
        <v>0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      'en-us','1077','Field-Label','Field',getdate(),getdate())</v>
      </c>
    </row>
    <row r="78" spans="1:6" x14ac:dyDescent="0.25">
      <c r="A78">
        <v>1078</v>
      </c>
      <c r="B78" t="s">
        <v>0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      'en-us','1078','Value-Label','Value',getdate(),getdate())</v>
      </c>
    </row>
    <row r="79" spans="1:6" x14ac:dyDescent="0.25">
      <c r="A79">
        <v>1079</v>
      </c>
      <c r="B79" t="s">
        <v>0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      'en-us','1079','SelectItem-Description','Select a item',getdate(),getdate())</v>
      </c>
    </row>
    <row r="80" spans="1:6" x14ac:dyDescent="0.25">
      <c r="A80">
        <v>1080</v>
      </c>
      <c r="B80" t="s">
        <v>0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      'en-us','1080','AllItem-Description','All',getdate(),getdate())</v>
      </c>
    </row>
    <row r="81" spans="1:6" x14ac:dyDescent="0.25">
      <c r="A81">
        <v>1081</v>
      </c>
      <c r="B81" t="s">
        <v>0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      'en-us','1081','Welcome-Label','Welcome to GW Template',getdate(),getdate())</v>
      </c>
    </row>
    <row r="82" spans="1:6" x14ac:dyDescent="0.25">
      <c r="A82">
        <v>1082</v>
      </c>
      <c r="B82" t="s">
        <v>0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      'en-us','1082','LoginTitle-Label','Sign In',getdate(),getdate())</v>
      </c>
    </row>
    <row r="83" spans="1:6" x14ac:dyDescent="0.25">
      <c r="A83">
        <v>1083</v>
      </c>
      <c r="B83" t="s">
        <v>0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login and password" &amp; $N$1</f>
        <v>'Enter your login and password'</v>
      </c>
      <c r="F83" t="str">
        <f t="shared" si="3"/>
        <v>insert into sysLocalizationText Values(1083,      'en-us','1083','LoginTitle-Description','Enter your login and password',getdate(),getdate())</v>
      </c>
    </row>
    <row r="84" spans="1:6" x14ac:dyDescent="0.25">
      <c r="A84">
        <v>1084</v>
      </c>
      <c r="B84" t="s">
        <v>0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      'en-us','1084','InputEmail-Description','Input your account e-mail',getdate(),getdate())</v>
      </c>
    </row>
    <row r="85" spans="1:6" x14ac:dyDescent="0.25">
      <c r="A85">
        <v>1085</v>
      </c>
      <c r="B85" t="s">
        <v>0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      'en-us','1085','InputPassword-Description','Input your password',getdate(),getdate())</v>
      </c>
    </row>
    <row r="86" spans="1:6" x14ac:dyDescent="0.25">
      <c r="A86">
        <v>1086</v>
      </c>
      <c r="B86" t="s">
        <v>0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      'en-us','1086','ForgetPassword-Description','Forgot your password ?',getdate(),getdate())</v>
      </c>
    </row>
    <row r="87" spans="1:6" x14ac:dyDescent="0.25">
      <c r="A87">
        <v>1087</v>
      </c>
      <c r="B87" t="s">
        <v>0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      'en-us','1087','LoginButton-Label','Confirm',getdate(),getdate())</v>
      </c>
    </row>
    <row r="88" spans="1:6" x14ac:dyDescent="0.25">
      <c r="A88">
        <v>1088</v>
      </c>
      <c r="B88" t="s">
        <v>0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      'en-us','1088','LoginLoading-Label','Entering...',getdate(),getdate())</v>
      </c>
    </row>
    <row r="89" spans="1:6" x14ac:dyDescent="0.25">
      <c r="A89">
        <v>1089</v>
      </c>
      <c r="B89" t="s">
        <v>0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      'en-us','1089','SendText-Description','Sending...',getdate(),getdate())</v>
      </c>
    </row>
    <row r="90" spans="1:6" x14ac:dyDescent="0.25">
      <c r="A90">
        <v>1090</v>
      </c>
      <c r="B90" t="s">
        <v>0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      'en-us','1090','ActiveAccountButton-Label','Activate Account',getdate(),getdate())</v>
      </c>
    </row>
    <row r="91" spans="1:6" x14ac:dyDescent="0.25">
      <c r="A91">
        <v>1091</v>
      </c>
      <c r="B91" t="s">
        <v>0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      'en-us','1091','ActiveAccount-Label','Account Activation',getdate(),getdate())</v>
      </c>
    </row>
    <row r="92" spans="1:6" x14ac:dyDescent="0.25">
      <c r="A92">
        <v>1092</v>
      </c>
      <c r="B92" t="s">
        <v>0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      'en-us','1092','ActiveAccount-Description','Cannot access ?',getdate(),getdate())</v>
      </c>
    </row>
    <row r="93" spans="1:6" x14ac:dyDescent="0.25">
      <c r="A93">
        <v>1093</v>
      </c>
      <c r="B93" t="s">
        <v>0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      'en-us','1093','ActiveAccount-Step1','Send the activation code to your registration email',getdate(),getdate())</v>
      </c>
    </row>
    <row r="94" spans="1:6" x14ac:dyDescent="0.25">
      <c r="A94">
        <v>1094</v>
      </c>
      <c r="B94" t="s">
        <v>0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      'en-us','1094','ActiveAccount-Step2','Enter the activation code received',getdate(),getdate())</v>
      </c>
    </row>
    <row r="95" spans="1:6" x14ac:dyDescent="0.25">
      <c r="A95">
        <v>1095</v>
      </c>
      <c r="B95" t="s">
        <v>0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      'en-us','1095','SendCodeButton-Label','Send code',getdate(),getdate())</v>
      </c>
    </row>
    <row r="96" spans="1:6" x14ac:dyDescent="0.25">
      <c r="A96">
        <v>1096</v>
      </c>
      <c r="B96" t="s">
        <v>0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      'en-us','1096','ActiveLoading-Label','Request Activation',getdate(),getdate())</v>
      </c>
    </row>
    <row r="97" spans="1:6" x14ac:dyDescent="0.25">
      <c r="A97">
        <v>1097</v>
      </c>
      <c r="B97" t="s">
        <v>0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      'en-us','1097','InputCode-Description','Input code received on e-mail',getdate(),getdate())</v>
      </c>
    </row>
    <row r="98" spans="1:6" x14ac:dyDescent="0.25">
      <c r="A98">
        <v>1098</v>
      </c>
      <c r="B98" t="s">
        <v>0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      'en-us','1098','Unlogged-Label','Not Logged',getdate(),getdate())</v>
      </c>
    </row>
    <row r="99" spans="1:6" x14ac:dyDescent="0.25">
      <c r="A99">
        <v>1099</v>
      </c>
      <c r="B99" t="s">
        <v>0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      'en-us','1099','MyProfile-Label','My Profile',getdate(),getdate())</v>
      </c>
    </row>
    <row r="100" spans="1:6" x14ac:dyDescent="0.25">
      <c r="A100">
        <v>1100</v>
      </c>
      <c r="B100" t="s">
        <v>0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      'en-us','1100','MainProfileData-Label','Main Info',getdate(),getdate())</v>
      </c>
    </row>
    <row r="101" spans="1:6" x14ac:dyDescent="0.25">
      <c r="A101">
        <v>1101</v>
      </c>
      <c r="B101" t="s">
        <v>0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      'en-us','1101','AlterPassword-Label','Change Password',getdate(),getdate())</v>
      </c>
    </row>
    <row r="102" spans="1:6" x14ac:dyDescent="0.25">
      <c r="A102">
        <v>1102</v>
      </c>
      <c r="B102" t="s">
        <v>0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      'en-us','1102','LanguageRole-Label','Language',getdate(),getdate())</v>
      </c>
    </row>
    <row r="103" spans="1:6" x14ac:dyDescent="0.25">
      <c r="A103">
        <v>1103</v>
      </c>
      <c r="B103" t="s">
        <v>0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      'en-us','1103','AlterProfileImage-Label','Change Profile Image',getdate(),getdate())</v>
      </c>
    </row>
    <row r="104" spans="1:6" x14ac:dyDescent="0.25">
      <c r="A104">
        <v>1104</v>
      </c>
      <c r="B104" t="s">
        <v>0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      'en-us','1104','AlterPasswordStep1-Label','Click on the link below to receive an email with the security code to change your password',getdate(),getdate())</v>
      </c>
    </row>
    <row r="105" spans="1:6" x14ac:dyDescent="0.25">
      <c r="A105">
        <v>1105</v>
      </c>
      <c r="B105" t="s">
        <v>0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      'en-us','1105','AlterPasswordStep2-Label','After receiving the code, fill in the information below and click Change Password',getdate(),getdate())</v>
      </c>
    </row>
    <row r="106" spans="1:6" x14ac:dyDescent="0.25">
      <c r="A106">
        <v>1106</v>
      </c>
      <c r="B106" t="s">
        <v>0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      'en-us','1106','InputNewPassword-Label','Input the new password',getdate(),getdate())</v>
      </c>
    </row>
    <row r="107" spans="1:6" x14ac:dyDescent="0.25">
      <c r="A107">
        <v>1107</v>
      </c>
      <c r="B107" t="s">
        <v>0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      'en-us','1107','AlterPasswordButton-Label','Change Password',getdate(),getdate())</v>
      </c>
    </row>
    <row r="108" spans="1:6" x14ac:dyDescent="0.25">
      <c r="A108">
        <v>1108</v>
      </c>
      <c r="B108" t="s">
        <v>0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      'en-us','1108','AlterPasswordButton-Loading','Changing password...',getdate(),getdate())</v>
      </c>
    </row>
    <row r="109" spans="1:6" x14ac:dyDescent="0.25">
      <c r="A109">
        <v>1109</v>
      </c>
      <c r="B109" t="s">
        <v>0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      'en-us','1109','InvalidCredentials-Title','Invalid Credentiais',getdate(),getdate())</v>
      </c>
    </row>
    <row r="110" spans="1:6" x14ac:dyDescent="0.25">
      <c r="A110">
        <v>1110</v>
      </c>
      <c r="B110" t="s">
        <v>0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      'en-us','1110','InvalidCredentials-Message','E-mail or password invalid.',getdate(),getdate())</v>
      </c>
    </row>
    <row r="111" spans="1:6" x14ac:dyDescent="0.25">
      <c r="A111">
        <v>1111</v>
      </c>
      <c r="B111" t="s">
        <v>0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      'en-us','1111','TemporaryPassword-Title','Temporary Password Sent',getdate(),getdate())</v>
      </c>
    </row>
    <row r="112" spans="1:6" x14ac:dyDescent="0.25">
      <c r="A112">
        <v>1112</v>
      </c>
      <c r="B112" t="s">
        <v>0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      'en-us','1112','TemporaryPassword-Message','A temporary password has been sent to your registration e-mail. When logging in, ask to change your password.',getdate(),getdate())</v>
      </c>
    </row>
    <row r="113" spans="1:6" x14ac:dyDescent="0.25">
      <c r="A113">
        <v>1113</v>
      </c>
      <c r="B113" t="s">
        <v>0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      'en-us','1113','SuccessActivated-Title','Activation Successfuly',getdate(),getdate())</v>
      </c>
    </row>
    <row r="114" spans="1:6" x14ac:dyDescent="0.25">
      <c r="A114">
        <v>1114</v>
      </c>
      <c r="B114" t="s">
        <v>0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      'en-us','1114','SuccessActivated-Message','The account has been successfully activated. You can now log in.',getdate(),getdate())</v>
      </c>
    </row>
    <row r="115" spans="1:6" x14ac:dyDescent="0.25">
      <c r="A115">
        <v>1115</v>
      </c>
      <c r="B115" t="s">
        <v>0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      'en-us','1115','ActivateCode-Title','Code was Sent .',getdate(),getdate())</v>
      </c>
    </row>
    <row r="116" spans="1:6" x14ac:dyDescent="0.25">
      <c r="A116">
        <v>1116</v>
      </c>
      <c r="B116" t="s">
        <v>0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      'en-us','1116','ActivateCode-Message','A security code has been sent by e-mail.',getdate(),getdate())</v>
      </c>
    </row>
    <row r="117" spans="1:6" x14ac:dyDescent="0.25">
      <c r="A117">
        <v>1117</v>
      </c>
      <c r="B117" t="s">
        <v>0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      'en-us','1117','PasswordChanged-Title','Changed Password',getdate(),getdate())</v>
      </c>
    </row>
    <row r="118" spans="1:6" x14ac:dyDescent="0.25">
      <c r="A118">
        <v>1118</v>
      </c>
      <c r="B118" t="s">
        <v>0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      'en-us','1118','PasswordChanged-Message','The password has been successfully changed. Log in again.',getdate(),getdate())</v>
      </c>
    </row>
    <row r="119" spans="1:6" x14ac:dyDescent="0.25">
      <c r="A119">
        <v>1119</v>
      </c>
      <c r="B119" t="s">
        <v>0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      'en-us','1119','ImageChanged-Title','Altered Image',getdate(),getdate())</v>
      </c>
    </row>
    <row r="120" spans="1:6" x14ac:dyDescent="0.25">
      <c r="A120">
        <v>1120</v>
      </c>
      <c r="B120" t="s">
        <v>0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      'en-us','1120','ImageChanged-Message','The profile picture has been changed. At the next login the new image will be displayed.',getdate(),getdate())</v>
      </c>
    </row>
    <row r="121" spans="1:6" x14ac:dyDescent="0.25">
      <c r="A121">
        <v>1121</v>
      </c>
      <c r="B121" t="s">
        <v>0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      'en-us','1121','SearchByEmail-Label','By E-mail',getdate(),getdate())</v>
      </c>
    </row>
    <row r="122" spans="1:6" x14ac:dyDescent="0.25">
      <c r="A122">
        <v>1122</v>
      </c>
      <c r="B122" t="s">
        <v>0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      'en-us','1122','SearchByUserName-Label','By User Name',getdate(),getdate())</v>
      </c>
    </row>
    <row r="123" spans="1:6" x14ac:dyDescent="0.25">
      <c r="A123">
        <v>1123</v>
      </c>
      <c r="B123" t="s">
        <v>0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      'en-us','1123','SearchByEmail-Description','Search By E-mail',getdate(),getdate())</v>
      </c>
    </row>
    <row r="124" spans="1:6" x14ac:dyDescent="0.25">
      <c r="A124">
        <v>1124</v>
      </c>
      <c r="B124" t="s">
        <v>0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      'en-us','1124','SearchByUserName-Description','Search By User Name',getdate(),getdate())</v>
      </c>
    </row>
    <row r="125" spans="1:6" x14ac:dyDescent="0.25">
      <c r="A125">
        <v>1125</v>
      </c>
      <c r="B125" t="s">
        <v>0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      'en-us','1125','SearchByInstance-Label','By Instance',getdate(),getdate())</v>
      </c>
    </row>
    <row r="126" spans="1:6" x14ac:dyDescent="0.25">
      <c r="A126">
        <v>1126</v>
      </c>
      <c r="B126" t="s">
        <v>0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      'en-us','1126','SearchByRole-Label','By Role',getdate(),getdate())</v>
      </c>
    </row>
    <row r="127" spans="1:6" x14ac:dyDescent="0.25">
      <c r="A127">
        <v>1127</v>
      </c>
      <c r="B127" t="s">
        <v>0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      'en-us','1127','NewUser-Label','New User',getdate(),getdate())</v>
      </c>
    </row>
    <row r="128" spans="1:6" x14ac:dyDescent="0.25">
      <c r="A128">
        <v>1128</v>
      </c>
      <c r="B128" t="s">
        <v>0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      'en-us','1128','NewUser-Description','Click here to create new User',getdate(),getdate())</v>
      </c>
    </row>
    <row r="129" spans="1:6" x14ac:dyDescent="0.25">
      <c r="A129">
        <v>1129</v>
      </c>
      <c r="B129" t="s">
        <v>0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      'en-us','1129','Active-Label','Active',getdate(),getdate())</v>
      </c>
    </row>
    <row r="130" spans="1:6" x14ac:dyDescent="0.25">
      <c r="A130">
        <v>1130</v>
      </c>
      <c r="B130" t="s">
        <v>0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Values(1130,      'en-us','1130','Locked-Label','Locked',getdate(),getdate())</v>
      </c>
    </row>
    <row r="131" spans="1:6" x14ac:dyDescent="0.25">
      <c r="A131">
        <v>1131</v>
      </c>
      <c r="B131" t="s">
        <v>0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      'en-us','1131','MainData-Label','Main Data',getdate(),getdate())</v>
      </c>
    </row>
    <row r="132" spans="1:6" x14ac:dyDescent="0.25">
      <c r="A132">
        <v>1132</v>
      </c>
      <c r="B132" t="s">
        <v>0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      'en-us','1132','User-SecondTabLabel','Instances &amp; Roles',getdate(),getdate())</v>
      </c>
    </row>
    <row r="133" spans="1:6" x14ac:dyDescent="0.25">
      <c r="A133">
        <v>1133</v>
      </c>
      <c r="B133" t="s">
        <v>0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      'en-us','1133','CreateDate-Label','Create Date',getdate(),getdate())</v>
      </c>
    </row>
    <row r="134" spans="1:6" x14ac:dyDescent="0.25">
      <c r="A134">
        <v>1134</v>
      </c>
      <c r="B134" t="s">
        <v>0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      'en-us','1134','LastLoginDate-Label','Last Login Date',getdate(),getdate())</v>
      </c>
    </row>
    <row r="135" spans="1:6" x14ac:dyDescent="0.25">
      <c r="A135">
        <v>1135</v>
      </c>
      <c r="B135" t="s">
        <v>0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      'en-us','1135','DefaultLanguage-Label','Default Language',getdate(),getdate())</v>
      </c>
    </row>
    <row r="136" spans="1:6" x14ac:dyDescent="0.25">
      <c r="A136">
        <v>1136</v>
      </c>
      <c r="B136" t="s">
        <v>0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      'en-us','1136','LastLoginIP-Label','Last Login IP',getdate(),getdate())</v>
      </c>
    </row>
    <row r="137" spans="1:6" x14ac:dyDescent="0.25">
      <c r="A137">
        <v>1137</v>
      </c>
      <c r="B137" t="s">
        <v>0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      'en-us','1137','LoginCounter-Label','Login Counter',getdate(),getdate())</v>
      </c>
    </row>
    <row r="138" spans="1:6" x14ac:dyDescent="0.25">
      <c r="A138">
        <v>1138</v>
      </c>
      <c r="B138" t="s">
        <v>0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      'en-us','1138','PasswordRecovery-Label','Password Recovery Code',getdate(),getdate())</v>
      </c>
    </row>
    <row r="139" spans="1:6" x14ac:dyDescent="0.25">
      <c r="A139">
        <v>1139</v>
      </c>
      <c r="B139" t="s">
        <v>0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      'en-us','1139','AlterInstance-Label','Alter Instance',getdate(),getdate())</v>
      </c>
    </row>
    <row r="140" spans="1:6" x14ac:dyDescent="0.25">
      <c r="A140">
        <v>1140</v>
      </c>
      <c r="B140" t="s">
        <v>0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      'en-us','1140','AlterInstance-Description','Select a Instance to change',getdate(),getdate())</v>
      </c>
    </row>
    <row r="141" spans="1:6" x14ac:dyDescent="0.25">
      <c r="A141">
        <v>1141</v>
      </c>
      <c r="B141" t="s">
        <v>0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      'en-us','1141','Altering-Label','Altering...',getdate(),getdate())</v>
      </c>
    </row>
    <row r="142" spans="1:6" x14ac:dyDescent="0.25">
      <c r="A142">
        <v>1142</v>
      </c>
      <c r="B142" t="s">
        <v>0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      'en-us','1142','AlterRole-Label','Alter Role',getdate(),getdate())</v>
      </c>
    </row>
    <row r="143" spans="1:6" x14ac:dyDescent="0.25">
      <c r="A143">
        <v>1143</v>
      </c>
      <c r="B143" t="s">
        <v>0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      'en-us','1143','AlterRole-Description','Select a Role to change',getdate(),getdate())</v>
      </c>
    </row>
    <row r="144" spans="1:6" x14ac:dyDescent="0.25">
      <c r="A144">
        <v>1144</v>
      </c>
      <c r="B144" t="s">
        <v>0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      'en-us','1144','UserStatus-Label','User Status',getdate(),getdate())</v>
      </c>
    </row>
    <row r="145" spans="1:6" x14ac:dyDescent="0.25">
      <c r="A145">
        <v>1145</v>
      </c>
      <c r="B145" t="s">
        <v>0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      'en-us','1145','ChangeUserState-Description','Click here to change status',getdate(),getdate())</v>
      </c>
    </row>
    <row r="146" spans="1:6" x14ac:dyDescent="0.25">
      <c r="A146">
        <v>1146</v>
      </c>
      <c r="B146" t="s">
        <v>0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      'en-us','1146','ChangeUserState-Label','Update Status',getdate(),getdate())</v>
      </c>
    </row>
    <row r="147" spans="1:6" x14ac:dyDescent="0.25">
      <c r="A147">
        <v>1147</v>
      </c>
      <c r="B147" t="s">
        <v>0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      'en-us','1147','CreateUser-Label','Creating New User',getdate(),getdate())</v>
      </c>
    </row>
    <row r="148" spans="1:6" x14ac:dyDescent="0.25">
      <c r="A148">
        <v>1148</v>
      </c>
      <c r="B148" t="s">
        <v>0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      'en-us','1148','CreateUser-Description','Click here to create new user record.',getdate(),getdate())</v>
      </c>
    </row>
    <row r="149" spans="1:6" x14ac:dyDescent="0.25">
      <c r="A149">
        <v>1149</v>
      </c>
      <c r="B149" t="s">
        <v>0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      'en-us','1149','CreateUserButton-Label','Save',getdate(),getdate())</v>
      </c>
    </row>
    <row r="150" spans="1:6" x14ac:dyDescent="0.25">
      <c r="A150">
        <v>1150</v>
      </c>
      <c r="B150" t="s">
        <v>0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      'en-us','1150','AlterStatus-Error','Error on alter user status',getdate(),getdate())</v>
      </c>
    </row>
    <row r="151" spans="1:6" x14ac:dyDescent="0.25">
      <c r="A151">
        <v>1151</v>
      </c>
      <c r="B151" t="s">
        <v>0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      'en-us','1151','AlterStatus-Success','User status altered successfuly',getdate(),getdate())</v>
      </c>
    </row>
    <row r="152" spans="1:6" x14ac:dyDescent="0.25">
      <c r="A152">
        <v>1152</v>
      </c>
      <c r="B152" t="s">
        <v>0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      'en-us','1152','AlterInstance-Error','Error on alter instance',getdate(),getdate())</v>
      </c>
    </row>
    <row r="153" spans="1:6" x14ac:dyDescent="0.25">
      <c r="A153">
        <v>1153</v>
      </c>
      <c r="B153" t="s">
        <v>0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      'en-us','1153','AlterInstance-Success','Instance altered successfuly',getdate(),getdate())</v>
      </c>
    </row>
    <row r="154" spans="1:6" x14ac:dyDescent="0.25">
      <c r="A154">
        <v>1154</v>
      </c>
      <c r="B154" t="s">
        <v>0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      'en-us','1154','AlterRole-Error','Error on alter user role',getdate(),getdate())</v>
      </c>
    </row>
    <row r="155" spans="1:6" x14ac:dyDescent="0.25">
      <c r="A155">
        <v>1155</v>
      </c>
      <c r="B155" t="s">
        <v>0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      'en-us','1155','AlterRole-Success','Role altered successfuly',getdate(),getdate())</v>
      </c>
    </row>
    <row r="156" spans="1:6" x14ac:dyDescent="0.25">
      <c r="A156">
        <v>1156</v>
      </c>
      <c r="B156" t="s">
        <v>0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      'en-us','1156','Instance-PageTitle','Instance',getdate(),getdate())</v>
      </c>
    </row>
    <row r="157" spans="1:6" x14ac:dyDescent="0.25">
      <c r="A157">
        <v>1157</v>
      </c>
      <c r="B157" t="s">
        <v>0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      'en-us','1157','SearchByInstanceName-Label','By Instance Name',getdate(),getdate())</v>
      </c>
    </row>
    <row r="158" spans="1:6" x14ac:dyDescent="0.25">
      <c r="A158">
        <v>1158</v>
      </c>
      <c r="B158" t="s">
        <v>0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      'en-us','1158','SearchByInstanceName-Description','Search by Instance Name',getdate(),getdate())</v>
      </c>
    </row>
    <row r="159" spans="1:6" x14ac:dyDescent="0.25">
      <c r="A159">
        <v>1159</v>
      </c>
      <c r="B159" t="s">
        <v>0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      'en-us','1159','SearchByInstanceTypeName-Label','By Type Name',getdate(),getdate())</v>
      </c>
    </row>
    <row r="160" spans="1:6" x14ac:dyDescent="0.25">
      <c r="A160">
        <v>1160</v>
      </c>
      <c r="B160" t="s">
        <v>0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      'en-us','1160','SearchByInstanceTypeName-Description','Search by Type Name',getdate(),getdate())</v>
      </c>
    </row>
    <row r="161" spans="1:6" x14ac:dyDescent="0.25">
      <c r="A161">
        <v>1161</v>
      </c>
      <c r="B161" t="s">
        <v>0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      'en-us','1161','NewInstance-Label','New Instance',getdate(),getdate())</v>
      </c>
    </row>
    <row r="162" spans="1:6" x14ac:dyDescent="0.25">
      <c r="A162">
        <v>1162</v>
      </c>
      <c r="B162" t="s">
        <v>0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      'en-us','1162','NewInstance-Description','Click here to create new Instance',getdate(),getdate())</v>
      </c>
    </row>
    <row r="163" spans="1:6" x14ac:dyDescent="0.25">
      <c r="A163">
        <v>1163</v>
      </c>
      <c r="B163" t="s">
        <v>0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      'en-us','1163','InstanceTypeName-Label','Instance Type Name',getdate(),getdate())</v>
      </c>
    </row>
    <row r="164" spans="1:6" x14ac:dyDescent="0.25">
      <c r="A164">
        <v>1164</v>
      </c>
      <c r="B164" t="s">
        <v>0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      'en-us','1164','InstanceName-Label','Instance Name',getdate(),getdate())</v>
      </c>
    </row>
    <row r="165" spans="1:6" x14ac:dyDescent="0.25">
      <c r="A165">
        <v>1165</v>
      </c>
      <c r="B165" t="s">
        <v>0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      'en-us','1165','InstanceRecord-Label','Instance Record',getdate(),getdate())</v>
      </c>
    </row>
    <row r="166" spans="1:6" x14ac:dyDescent="0.25">
      <c r="A166">
        <v>1166</v>
      </c>
      <c r="B166" t="s">
        <v>0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      'en-us','1166','SaveInstanceButton-Label','Save Instance',getdate(),getdate())</v>
      </c>
    </row>
    <row r="167" spans="1:6" x14ac:dyDescent="0.25">
      <c r="A167">
        <v>1167</v>
      </c>
      <c r="B167" t="s">
        <v>0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      'en-us','1167','SaveInstanceButton-Description','Click here to save Instance',getdate(),getdate())</v>
      </c>
    </row>
    <row r="168" spans="1:6" x14ac:dyDescent="0.25">
      <c r="A168">
        <v>1168</v>
      </c>
      <c r="B168" t="s">
        <v>0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      'en-us','1168','DataLog-PageTitle','Data Log',getdate(),getdate())</v>
      </c>
    </row>
    <row r="169" spans="1:6" x14ac:dyDescent="0.25">
      <c r="A169">
        <v>1169</v>
      </c>
      <c r="B169" t="s">
        <v>0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      'en-us','1169','SearchByOperationType-Label','By Operation Type',getdate(),getdate())</v>
      </c>
    </row>
    <row r="170" spans="1:6" x14ac:dyDescent="0.25">
      <c r="A170">
        <v>1170</v>
      </c>
      <c r="B170" t="s">
        <v>0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      'en-us','1170','SearchByObject-Label','By Object',getdate(),getdate())</v>
      </c>
    </row>
    <row r="171" spans="1:6" x14ac:dyDescent="0.25">
      <c r="A171">
        <v>1171</v>
      </c>
      <c r="B171" t="s">
        <v>0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      'en-us','1171','SearchByIntervalDate-Label','By Date Range',getdate(),getdate())</v>
      </c>
    </row>
    <row r="172" spans="1:6" x14ac:dyDescent="0.25">
      <c r="A172">
        <v>1172</v>
      </c>
      <c r="B172" t="s">
        <v>0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      'en-us','1172','SearchByInicialDate-Label','Start Date',getdate(),getdate())</v>
      </c>
    </row>
    <row r="173" spans="1:6" x14ac:dyDescent="0.25">
      <c r="A173">
        <v>1173</v>
      </c>
      <c r="B173" t="s">
        <v>0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      'en-us','1173','SearchByFinalDate-Label','End Date',getdate(),getdate())</v>
      </c>
    </row>
    <row r="174" spans="1:6" x14ac:dyDescent="0.25">
      <c r="A174">
        <v>1174</v>
      </c>
      <c r="B174" t="s">
        <v>0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      'en-us','1174','SearchByRecordID-Label','Search Record ID',getdate(),getdate())</v>
      </c>
    </row>
    <row r="175" spans="1:6" x14ac:dyDescent="0.25">
      <c r="A175">
        <v>1175</v>
      </c>
      <c r="B175" t="s">
        <v>0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      'en-us','1175','TableName-Label','Table Name',getdate(),getdate())</v>
      </c>
    </row>
    <row r="176" spans="1:6" x14ac:dyDescent="0.25">
      <c r="A176">
        <v>1176</v>
      </c>
      <c r="B176" t="s">
        <v>0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      'en-us','1176','OperationText-Label','Operation Text',getdate(),getdate())</v>
      </c>
    </row>
    <row r="177" spans="1:6" x14ac:dyDescent="0.25">
      <c r="A177">
        <v>1177</v>
      </c>
      <c r="B177" t="s">
        <v>0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      'en-us','1177','LogID-Label','Log ID',getdate(),getdate())</v>
      </c>
    </row>
    <row r="178" spans="1:6" x14ac:dyDescent="0.25">
      <c r="A178">
        <v>1178</v>
      </c>
      <c r="B178" t="s">
        <v>0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      'en-us','1178','LogInformation-Label','Log Information',getdate(),getdate())</v>
      </c>
    </row>
    <row r="179" spans="1:6" x14ac:dyDescent="0.25">
      <c r="A179">
        <v>1179</v>
      </c>
      <c r="B179" t="s">
        <v>0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      'en-us','1179','ShowTimeLine-Label','Show Time Line',getdate(),getdate())</v>
      </c>
    </row>
    <row r="180" spans="1:6" x14ac:dyDescent="0.25">
      <c r="A180">
        <v>1180</v>
      </c>
      <c r="B180" t="s">
        <v>0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      'en-us','1180','OldVersionData-Label','Old Version',getdate(),getdate())</v>
      </c>
    </row>
    <row r="181" spans="1:6" x14ac:dyDescent="0.25">
      <c r="A181">
        <v>1181</v>
      </c>
      <c r="B181" t="s">
        <v>0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      'en-us','1181','HasNoOldVersion-Label','No data was found',getdate(),getdate())</v>
      </c>
    </row>
    <row r="182" spans="1:6" x14ac:dyDescent="0.25">
      <c r="A182">
        <v>1182</v>
      </c>
      <c r="B182" t="s">
        <v>0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      'en-us','1182','CurrentVersionData-Label','Current Version',getdate(),getdate())</v>
      </c>
    </row>
    <row r="183" spans="1:6" x14ac:dyDescent="0.25">
      <c r="A183">
        <v>1183</v>
      </c>
      <c r="B183" t="s">
        <v>0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      'en-us','1183','HasNoCurrentVersion-Label','No data was found',getdate(),getdate())</v>
      </c>
    </row>
    <row r="184" spans="1:6" x14ac:dyDescent="0.25">
      <c r="A184">
        <v>1184</v>
      </c>
      <c r="B184" t="s">
        <v>0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      'en-us','1184','RecordTimeLine-Label','Record Time Line',getdate(),getdate())</v>
      </c>
    </row>
    <row r="185" spans="1:6" x14ac:dyDescent="0.25">
      <c r="A185">
        <v>1185</v>
      </c>
      <c r="B185" t="s">
        <v>0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      'en-us','1185','HasNoTimeLine-Label','No data on time line',getdate(),getdate())</v>
      </c>
    </row>
    <row r="186" spans="1:6" x14ac:dyDescent="0.25">
      <c r="A186">
        <v>1186</v>
      </c>
      <c r="B186" t="s">
        <v>0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      'en-us','1186','Localization-PageTitle','Localization Text',getdate(),getdate())</v>
      </c>
    </row>
    <row r="187" spans="1:6" x14ac:dyDescent="0.25">
      <c r="A187">
        <v>1187</v>
      </c>
      <c r="B187" t="s">
        <v>0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      'en-us','1187','SearchByLanguage-Label','By Language',getdate(),getdate())</v>
      </c>
    </row>
    <row r="188" spans="1:6" x14ac:dyDescent="0.25">
      <c r="A188">
        <v>1188</v>
      </c>
      <c r="B188" t="s">
        <v>0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      'en-us','1188','SearchByLanguage-Description','Search by Language',getdate(),getdate())</v>
      </c>
    </row>
    <row r="189" spans="1:6" x14ac:dyDescent="0.25">
      <c r="A189">
        <v>1189</v>
      </c>
      <c r="B189" t="s">
        <v>0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      'en-us','1189','SearchByLocalizationCode-Label','By Localization Code',getdate(),getdate())</v>
      </c>
    </row>
    <row r="190" spans="1:6" x14ac:dyDescent="0.25">
      <c r="A190">
        <v>1190</v>
      </c>
      <c r="B190" t="s">
        <v>0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      'en-us','1190','SearchByLocalizationCode-Description','Search by Localization Code',getdate(),getdate())</v>
      </c>
    </row>
    <row r="191" spans="1:6" x14ac:dyDescent="0.25">
      <c r="A191">
        <v>1191</v>
      </c>
      <c r="B191" t="s">
        <v>0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      'en-us','1191','SearchByLocalizationName-Label','By Localization Name',getdate(),getdate())</v>
      </c>
    </row>
    <row r="192" spans="1:6" x14ac:dyDescent="0.25">
      <c r="A192">
        <v>1192</v>
      </c>
      <c r="B192" t="s">
        <v>0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      'en-us','1192','SearchByLocalizationName-Description','Search by Localization Name',getdate(),getdate())</v>
      </c>
    </row>
    <row r="193" spans="1:6" x14ac:dyDescent="0.25">
      <c r="A193">
        <v>1193</v>
      </c>
      <c r="B193" t="s">
        <v>0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      'en-us','1193','SearchByLocalizationText-Label','By Localization Text',getdate(),getdate())</v>
      </c>
    </row>
    <row r="194" spans="1:6" x14ac:dyDescent="0.25">
      <c r="A194">
        <v>1194</v>
      </c>
      <c r="B194" t="s">
        <v>0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Values(1194,      'en-us','1194','SearchByLocalizationText-Description','Search by Localization Text',getdate(),getdate())</v>
      </c>
    </row>
    <row r="195" spans="1:6" x14ac:dyDescent="0.25">
      <c r="A195">
        <v>1195</v>
      </c>
      <c r="B195" t="s">
        <v>0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      'en-us','1195','Language-Label','Language',getdate(),getdate())</v>
      </c>
    </row>
    <row r="196" spans="1:6" x14ac:dyDescent="0.25">
      <c r="A196">
        <v>1196</v>
      </c>
      <c r="B196" t="s">
        <v>0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      'en-us','1196','LocalizationCode-Label','Localization Code',getdate(),getdate())</v>
      </c>
    </row>
    <row r="197" spans="1:6" x14ac:dyDescent="0.25">
      <c r="A197">
        <v>1197</v>
      </c>
      <c r="B197" t="s">
        <v>0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      'en-us','1197','LocalizationName-Label','Localization Name',getdate(),getdate())</v>
      </c>
    </row>
    <row r="198" spans="1:6" x14ac:dyDescent="0.25">
      <c r="A198">
        <v>1198</v>
      </c>
      <c r="B198" t="s">
        <v>0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      'en-us','1198','LocalizationRecord-Label','Localization Text Record',getdate(),getdate())</v>
      </c>
    </row>
    <row r="199" spans="1:6" x14ac:dyDescent="0.25">
      <c r="A199">
        <v>1199</v>
      </c>
      <c r="B199" t="s">
        <v>0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      'en-us','1199','LocalizationText-Label','Localization Text',getdate(),getdate())</v>
      </c>
    </row>
    <row r="200" spans="1:6" x14ac:dyDescent="0.25">
      <c r="A200">
        <v>1200</v>
      </c>
      <c r="B200" t="s">
        <v>0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      'en-us','1200','SaveLocalizationButton-Label','Save Localization',getdate(),getdate())</v>
      </c>
    </row>
    <row r="201" spans="1:6" x14ac:dyDescent="0.25">
      <c r="A201">
        <v>1201</v>
      </c>
      <c r="B201" t="s">
        <v>0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      'en-us','1201','SaveLocalizationButton-Description','Click here to save localization',getdate(),getdate())</v>
      </c>
    </row>
    <row r="202" spans="1:6" x14ac:dyDescent="0.25">
      <c r="A202">
        <v>1202</v>
      </c>
      <c r="B202" t="s">
        <v>0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      'en-us','1202','NewLocalization-Label','New Localization',getdate(),getdate())</v>
      </c>
    </row>
    <row r="203" spans="1:6" x14ac:dyDescent="0.25">
      <c r="A203">
        <v>1203</v>
      </c>
      <c r="B203" t="s">
        <v>0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      'en-us','1203','ObjectPermission-PageTitle','Object Permission',getdate(),getdate())</v>
      </c>
    </row>
    <row r="204" spans="1:6" x14ac:dyDescent="0.25">
      <c r="A204">
        <v>1204</v>
      </c>
      <c r="B204" t="s">
        <v>0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      'en-us','1204','SearchByObjectName-Label','By Object Name',getdate(),getdate())</v>
      </c>
    </row>
    <row r="205" spans="1:6" x14ac:dyDescent="0.25">
      <c r="A205">
        <v>1205</v>
      </c>
      <c r="B205" t="s">
        <v>0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      'en-us','1205','SearchByObjectName-Description','Search by Object Name',getdate(),getdate())</v>
      </c>
    </row>
    <row r="206" spans="1:6" x14ac:dyDescent="0.25">
      <c r="A206">
        <v>1206</v>
      </c>
      <c r="B206" t="s">
        <v>0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      'en-us','1206','SearchByObjectCode-Label','By Object Code',getdate(),getdate())</v>
      </c>
    </row>
    <row r="207" spans="1:6" x14ac:dyDescent="0.25">
      <c r="A207">
        <v>1207</v>
      </c>
      <c r="B207" t="s">
        <v>0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      'en-us','1207','SearchByObjectCode-Description','Search by Object Code',getdate(),getdate())</v>
      </c>
    </row>
    <row r="208" spans="1:6" x14ac:dyDescent="0.25">
      <c r="A208">
        <v>1208</v>
      </c>
      <c r="B208" t="s">
        <v>0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      'en-us','1208','NewObject-Label','New Object',getdate(),getdate())</v>
      </c>
    </row>
    <row r="209" spans="1:6" x14ac:dyDescent="0.25">
      <c r="A209">
        <v>1209</v>
      </c>
      <c r="B209" t="s">
        <v>0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      'en-us','1209','ObjectName-Label','Object Name',getdate(),getdate())</v>
      </c>
    </row>
    <row r="210" spans="1:6" x14ac:dyDescent="0.25">
      <c r="A210">
        <v>1210</v>
      </c>
      <c r="B210" t="s">
        <v>0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      'en-us','1210','ObjectCode-Label','Object Code',getdate(),getdate())</v>
      </c>
    </row>
    <row r="211" spans="1:6" x14ac:dyDescent="0.25">
      <c r="A211">
        <v>1211</v>
      </c>
      <c r="B211" t="s">
        <v>0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      'en-us','1211','ObjectPermissionRecord-Label','Object Permission Record',getdate(),getdate())</v>
      </c>
    </row>
    <row r="212" spans="1:6" x14ac:dyDescent="0.25">
      <c r="A212">
        <v>1212</v>
      </c>
      <c r="B212" t="s">
        <v>0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      'en-us','1212','SaveObjectPermissionButton-Label','Save Object Permission',getdate(),getdate())</v>
      </c>
    </row>
    <row r="213" spans="1:6" x14ac:dyDescent="0.25">
      <c r="A213">
        <v>1213</v>
      </c>
      <c r="B213" t="s">
        <v>0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      'en-us','1213','SaveObjectPermissionButton-Description','Click here to save Object Permission',getdate(),getdate())</v>
      </c>
    </row>
    <row r="214" spans="1:6" x14ac:dyDescent="0.25">
      <c r="A214">
        <v>1214</v>
      </c>
      <c r="B214" t="s">
        <v>0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      'en-us','1214','Permission-PageTitle','Permission',getdate(),getdate())</v>
      </c>
    </row>
    <row r="215" spans="1:6" x14ac:dyDescent="0.25">
      <c r="A215">
        <v>1215</v>
      </c>
      <c r="B215" t="s">
        <v>0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      'en-us','1215','SearchByObjectPermission-Label','By Object Permission',getdate(),getdate())</v>
      </c>
    </row>
    <row r="216" spans="1:6" x14ac:dyDescent="0.25">
      <c r="A216">
        <v>1216</v>
      </c>
      <c r="B216" t="s">
        <v>0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      'en-us','1216','SearchByRole-Label','By Role',getdate(),getdate())</v>
      </c>
    </row>
    <row r="217" spans="1:6" x14ac:dyDescent="0.25">
      <c r="A217">
        <v>1217</v>
      </c>
      <c r="B217" t="s">
        <v>0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      'en-us','1217','SearchByUser-Label','By User',getdate(),getdate())</v>
      </c>
    </row>
    <row r="218" spans="1:6" x14ac:dyDescent="0.25">
      <c r="A218">
        <v>1218</v>
      </c>
      <c r="B218" t="s">
        <v>0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      'en-us','1218','NewPermission-Label','New Permission',getdate(),getdate())</v>
      </c>
    </row>
    <row r="219" spans="1:6" x14ac:dyDescent="0.25">
      <c r="A219">
        <v>1219</v>
      </c>
      <c r="B219" t="s">
        <v>0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      'en-us','1219','NewPermission-Description','Click here to create new permission',getdate(),getdate())</v>
      </c>
    </row>
    <row r="220" spans="1:6" x14ac:dyDescent="0.25">
      <c r="A220">
        <v>1220</v>
      </c>
      <c r="B220" t="s">
        <v>0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      'en-us','1220','ObjectName-Label','Object Name',getdate(),getdate())</v>
      </c>
    </row>
    <row r="221" spans="1:6" x14ac:dyDescent="0.25">
      <c r="A221">
        <v>1221</v>
      </c>
      <c r="B221" t="s">
        <v>0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      'en-us','1221','RoleName-Label','Role Name',getdate(),getdate())</v>
      </c>
    </row>
    <row r="222" spans="1:6" x14ac:dyDescent="0.25">
      <c r="A222">
        <v>1222</v>
      </c>
      <c r="B222" t="s">
        <v>0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      'en-us','1222','PermissionRecord-Label','Permission Record',getdate(),getdate())</v>
      </c>
    </row>
    <row r="223" spans="1:6" x14ac:dyDescent="0.25">
      <c r="A223">
        <v>1223</v>
      </c>
      <c r="B223" t="s">
        <v>0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      'en-us','1223','PermissionType-Label','Permission Type',getdate(),getdate())</v>
      </c>
    </row>
    <row r="224" spans="1:6" x14ac:dyDescent="0.25">
      <c r="A224">
        <v>1224</v>
      </c>
      <c r="B224" t="s">
        <v>0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      'en-us','1224','ReadStatus-Label','Read Status',getdate(),getdate())</v>
      </c>
    </row>
    <row r="225" spans="1:6" x14ac:dyDescent="0.25">
      <c r="A225">
        <v>1225</v>
      </c>
      <c r="B225" t="s">
        <v>0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      'en-us','1225','SaveStatus-Label','Save Status',getdate(),getdate())</v>
      </c>
    </row>
    <row r="226" spans="1:6" x14ac:dyDescent="0.25">
      <c r="A226">
        <v>1226</v>
      </c>
      <c r="B226" t="s">
        <v>0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      'en-us','1226','DeleteStatus-Label','Delete Status',getdate(),getdate())</v>
      </c>
    </row>
    <row r="227" spans="1:6" x14ac:dyDescent="0.25">
      <c r="A227">
        <v>1227</v>
      </c>
      <c r="B227" t="s">
        <v>0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      'en-us','1227','SavePermissionButton-Label','Save Permission',getdate(),getdate())</v>
      </c>
    </row>
    <row r="228" spans="1:6" x14ac:dyDescent="0.25">
      <c r="A228">
        <v>1228</v>
      </c>
      <c r="B228" t="s">
        <v>0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      'en-us','1228','SavePermissionButton-Description','Click here to save Permission',getdate(),getdate())</v>
      </c>
    </row>
    <row r="229" spans="1:6" x14ac:dyDescent="0.25">
      <c r="A229">
        <v>1229</v>
      </c>
      <c r="B229" t="s">
        <v>0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      'en-us','1229','Role-PageTitle','Role',getdate(),getdate())</v>
      </c>
    </row>
    <row r="230" spans="1:6" x14ac:dyDescent="0.25">
      <c r="A230">
        <v>1230</v>
      </c>
      <c r="B230" t="s">
        <v>0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      'en-us','1230','SearchByRoleName-Label','By Role Name',getdate(),getdate())</v>
      </c>
    </row>
    <row r="231" spans="1:6" x14ac:dyDescent="0.25">
      <c r="A231">
        <v>1231</v>
      </c>
      <c r="B231" t="s">
        <v>0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      'en-us','1231','SearchByRoleName-Description','Search by Role Name',getdate(),getdate())</v>
      </c>
    </row>
    <row r="232" spans="1:6" x14ac:dyDescent="0.25">
      <c r="A232">
        <v>1232</v>
      </c>
      <c r="B232" t="s">
        <v>0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      'en-us','1232','NewRole-Label','New Role',getdate(),getdate())</v>
      </c>
    </row>
    <row r="233" spans="1:6" x14ac:dyDescent="0.25">
      <c r="A233">
        <v>1233</v>
      </c>
      <c r="B233" t="s">
        <v>0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      'en-us','1233','NewRole-Description','Click here to create new Role',getdate(),getdate())</v>
      </c>
    </row>
    <row r="234" spans="1:6" x14ac:dyDescent="0.25">
      <c r="A234">
        <v>1234</v>
      </c>
      <c r="B234" t="s">
        <v>0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      'en-us','1234','RoleName-Label','Role Name',getdate(),getdate())</v>
      </c>
    </row>
    <row r="235" spans="1:6" x14ac:dyDescent="0.25">
      <c r="A235">
        <v>1235</v>
      </c>
      <c r="B235" t="s">
        <v>0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      'en-us','1235','RoleRecord-Label','Role Record',getdate(),getdate())</v>
      </c>
    </row>
    <row r="236" spans="1:6" x14ac:dyDescent="0.25">
      <c r="A236">
        <v>1236</v>
      </c>
      <c r="B236" t="s">
        <v>0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      'en-us','1236','SaveRoleButton-Label','Save Role',getdate(),getdate())</v>
      </c>
    </row>
    <row r="237" spans="1:6" x14ac:dyDescent="0.25">
      <c r="A237">
        <v>1237</v>
      </c>
      <c r="B237" t="s">
        <v>0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      'en-us','1237','SaveRoleButton-Description','Click here to save Role',getdate(),getdate())</v>
      </c>
    </row>
    <row r="238" spans="1:6" x14ac:dyDescent="0.25">
      <c r="A238">
        <v>1238</v>
      </c>
      <c r="B238" t="s">
        <v>0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      'en-us','1238','SessionLog-PageTitle','Session Log',getdate(),getdate())</v>
      </c>
    </row>
    <row r="239" spans="1:6" x14ac:dyDescent="0.25">
      <c r="A239">
        <v>1239</v>
      </c>
      <c r="B239" t="s">
        <v>0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      'en-us','1239','SearchByEmail-Description','Search by E-mail',getdate(),getdate())</v>
      </c>
    </row>
    <row r="240" spans="1:6" x14ac:dyDescent="0.25">
      <c r="A240">
        <v>1240</v>
      </c>
      <c r="B240" t="s">
        <v>0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      'en-us','1240','SearchByDateInterval-Label','By Date Range',getdate(),getdate())</v>
      </c>
    </row>
    <row r="241" spans="1:6" x14ac:dyDescent="0.25">
      <c r="A241">
        <v>1241</v>
      </c>
      <c r="B241" t="s">
        <v>0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      'en-us','1241','SearchByInicialDate-Label','Start Date',getdate(),getdate())</v>
      </c>
    </row>
    <row r="242" spans="1:6" x14ac:dyDescent="0.25">
      <c r="A242">
        <v>1242</v>
      </c>
      <c r="B242" t="s">
        <v>0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      'en-us','1242','SearchByFinalDate-Label','End Date',getdate(),getdate())</v>
      </c>
    </row>
    <row r="243" spans="1:6" x14ac:dyDescent="0.25">
      <c r="A243">
        <v>1243</v>
      </c>
      <c r="B243" t="s">
        <v>0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      'en-us','1243','AccessDate-Label','Access Date',getdate(),getdate())</v>
      </c>
    </row>
    <row r="244" spans="1:6" x14ac:dyDescent="0.25">
      <c r="A244">
        <v>1244</v>
      </c>
      <c r="B244" t="s">
        <v>0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      'en-us','1244','IP-Label','IP',getdate(),getdate())</v>
      </c>
    </row>
    <row r="245" spans="1:6" x14ac:dyDescent="0.25">
      <c r="A245">
        <v>1245</v>
      </c>
      <c r="B245" t="s">
        <v>0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      'en-us','1245','SuperAdmin-MenuText','Super Admin',getdate(),getdate())</v>
      </c>
    </row>
    <row r="246" spans="1:6" x14ac:dyDescent="0.25">
      <c r="A246">
        <v>1246</v>
      </c>
      <c r="B246" t="s">
        <v>0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      'en-us','1246','BasicsData-MenuText','Management',getdate(),getdate())</v>
      </c>
    </row>
    <row r="247" spans="1:6" x14ac:dyDescent="0.25">
      <c r="A247">
        <v>1247</v>
      </c>
      <c r="B247" t="s">
        <v>0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      'en-us','1247','Monitoring-MenuText','Monitoring',getdate(),getdate())</v>
      </c>
    </row>
    <row r="248" spans="1:6" x14ac:dyDescent="0.25">
      <c r="A248">
        <v>1248</v>
      </c>
      <c r="B248" t="s">
        <v>0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      'en-us','1248','Instance-MenuText','Instances',getdate(),getdate())</v>
      </c>
    </row>
    <row r="249" spans="1:6" x14ac:dyDescent="0.25">
      <c r="A249">
        <v>1249</v>
      </c>
      <c r="B249" t="s">
        <v>0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      'en-us','1249','Role-MenuText','Roles',getdate(),getdate())</v>
      </c>
    </row>
    <row r="250" spans="1:6" x14ac:dyDescent="0.25">
      <c r="A250">
        <v>1250</v>
      </c>
      <c r="B250" t="s">
        <v>0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      'en-us','1250','Users-MenuText','Users',getdate(),getdate())</v>
      </c>
    </row>
    <row r="251" spans="1:6" x14ac:dyDescent="0.25">
      <c r="A251">
        <v>1251</v>
      </c>
      <c r="B251" t="s">
        <v>0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      'en-us','1251','ObjectPermission-MenuText','Objects Permission',getdate(),getdate())</v>
      </c>
    </row>
    <row r="252" spans="1:6" x14ac:dyDescent="0.25">
      <c r="A252">
        <v>1252</v>
      </c>
      <c r="B252" t="s">
        <v>0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      'en-us','1252','Permissions-MenuText','Permissions',getdate(),getdate())</v>
      </c>
    </row>
    <row r="253" spans="1:6" x14ac:dyDescent="0.25">
      <c r="A253">
        <v>1253</v>
      </c>
      <c r="B253" t="s">
        <v>0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      'en-us','1253','Localization-MenuText','Localization Texts',getdate(),getdate())</v>
      </c>
    </row>
    <row r="254" spans="1:6" x14ac:dyDescent="0.25">
      <c r="A254">
        <v>1256</v>
      </c>
      <c r="B254" t="s">
        <v>0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      'en-us','1256','DataLog-MenuText','Data Log',getdate(),getdate())</v>
      </c>
    </row>
    <row r="255" spans="1:6" x14ac:dyDescent="0.25">
      <c r="A255">
        <v>1257</v>
      </c>
      <c r="B255" t="s">
        <v>0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      'en-us','1257','SessionLog-MenuText','Session Log',getdate(),getdate())</v>
      </c>
    </row>
    <row r="256" spans="1:6" x14ac:dyDescent="0.25">
      <c r="A256">
        <v>1258</v>
      </c>
      <c r="B256" t="s">
        <v>0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      'en-us','1258','SearchByGroupParameterName-Label','Group Parameter Name',getdate(),getdate())</v>
      </c>
    </row>
    <row r="257" spans="1:6" x14ac:dyDescent="0.25">
      <c r="A257">
        <v>1259</v>
      </c>
      <c r="B257" t="s">
        <v>0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      'en-us','1259','SearchByGroupParameterName-Description','Search by Group Parameter Name',getdate(),getdate())</v>
      </c>
    </row>
    <row r="258" spans="1:6" x14ac:dyDescent="0.25">
      <c r="A258">
        <v>1260</v>
      </c>
      <c r="B258" t="s">
        <v>0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293" si="14">"insert into sysLocalizationText Values(" &amp;A258 &amp; "," &amp; B258 &amp; "," &amp;C258 &amp; "," &amp; D258 &amp; "," &amp; E258 &amp; ",getdate(),getdate())"</f>
        <v>insert into sysLocalizationText Values(1260,      'en-us','1260','NewGroupParameter-Label','New Group Parameter',getdate(),getdate())</v>
      </c>
    </row>
    <row r="259" spans="1:6" x14ac:dyDescent="0.25">
      <c r="A259">
        <v>1261</v>
      </c>
      <c r="B259" t="s">
        <v>0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      'en-us','1261','NewGroupParameter-Description','Click here to create new Group Parameter ',getdate(),getdate())</v>
      </c>
    </row>
    <row r="260" spans="1:6" x14ac:dyDescent="0.25">
      <c r="A260">
        <v>1262</v>
      </c>
      <c r="B260" t="s">
        <v>0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      'en-us','1262','GroupParameterRecord-Label','Group Parameter Record',getdate(),getdate())</v>
      </c>
    </row>
    <row r="261" spans="1:6" x14ac:dyDescent="0.25">
      <c r="A261">
        <v>1263</v>
      </c>
      <c r="B261" t="s">
        <v>0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      'en-us','1263','GroupParameterName-Label','Group Parameter Name ',getdate(),getdate())</v>
      </c>
    </row>
    <row r="262" spans="1:6" x14ac:dyDescent="0.25">
      <c r="A262">
        <v>1264</v>
      </c>
      <c r="B262" t="s">
        <v>0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      'en-us','1264','SaveGroupParameterButton-Label','Save Group Parameter',getdate(),getdate())</v>
      </c>
    </row>
    <row r="263" spans="1:6" x14ac:dyDescent="0.25">
      <c r="A263">
        <v>1265</v>
      </c>
      <c r="B263" t="s">
        <v>0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      'en-us','1265','SaveGroupParameterButton-Description','Click here to save Group Parameter',getdate(),getdate())</v>
      </c>
    </row>
    <row r="264" spans="1:6" x14ac:dyDescent="0.25">
      <c r="A264">
        <v>1266</v>
      </c>
      <c r="B264" t="s">
        <v>0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      'en-us','1266','GroupParameter-PageTitle','Group Parameters',getdate(),getdate())</v>
      </c>
    </row>
    <row r="265" spans="1:6" x14ac:dyDescent="0.25">
      <c r="A265">
        <v>1267</v>
      </c>
      <c r="B265" t="s">
        <v>0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      'en-us','1267','SearchByParameterName-Label','Parameter Name',getdate(),getdate())</v>
      </c>
    </row>
    <row r="266" spans="1:6" x14ac:dyDescent="0.25">
      <c r="A266">
        <v>1268</v>
      </c>
      <c r="B266" t="s">
        <v>0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      'en-us','1268','SearchByParameterName-Description','Search by Parameter Name',getdate(),getdate())</v>
      </c>
    </row>
    <row r="267" spans="1:6" x14ac:dyDescent="0.25">
      <c r="A267">
        <v>1269</v>
      </c>
      <c r="B267" t="s">
        <v>0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      'en-us','1269','NewParameter-Label','New Parameter',getdate(),getdate())</v>
      </c>
    </row>
    <row r="268" spans="1:6" x14ac:dyDescent="0.25">
      <c r="A268">
        <v>1270</v>
      </c>
      <c r="B268" t="s">
        <v>0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      'en-us','1270','NewParameter-Description','Click here to create new Parameter ',getdate(),getdate())</v>
      </c>
    </row>
    <row r="269" spans="1:6" x14ac:dyDescent="0.25">
      <c r="A269">
        <v>1271</v>
      </c>
      <c r="B269" t="s">
        <v>0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      'en-us','1271','ParameterRecord-Label','Parameter Record',getdate(),getdate())</v>
      </c>
    </row>
    <row r="270" spans="1:6" x14ac:dyDescent="0.25">
      <c r="A270">
        <v>1272</v>
      </c>
      <c r="B270" t="s">
        <v>0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      'en-us','1272','ParameterName-Label','Parameter Name ',getdate(),getdate())</v>
      </c>
    </row>
    <row r="271" spans="1:6" x14ac:dyDescent="0.25">
      <c r="A271">
        <v>1273</v>
      </c>
      <c r="B271" t="s">
        <v>0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      'en-us','1273','SaveParameterButton-Label','Save Parameter',getdate(),getdate())</v>
      </c>
    </row>
    <row r="272" spans="1:6" x14ac:dyDescent="0.25">
      <c r="A272">
        <v>1274</v>
      </c>
      <c r="B272" t="s">
        <v>0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      'en-us','1274','SaveParameterButton-Description','Click here to save Parameter',getdate(),getdate())</v>
      </c>
    </row>
    <row r="273" spans="1:6" x14ac:dyDescent="0.25">
      <c r="A273">
        <v>1275</v>
      </c>
      <c r="B273" t="s">
        <v>0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      'en-us','1275','Parameter-PageTitle','Parameters',getdate(),getdate())</v>
      </c>
    </row>
    <row r="274" spans="1:6" x14ac:dyDescent="0.25">
      <c r="A274">
        <v>1276</v>
      </c>
      <c r="B274" t="s">
        <v>0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      'en-us','1276','ChangeUserLanguage-Title','ChangeUserLanguage-Title',getdate(),getdate())</v>
      </c>
    </row>
    <row r="275" spans="1:6" x14ac:dyDescent="0.25">
      <c r="A275">
        <v>1277</v>
      </c>
      <c r="B275" t="s">
        <v>0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      'en-us','1277','ChangeUserLanguage-Message','The User Language has been successfully changed. Log in again.',getdate(),getdate())</v>
      </c>
    </row>
    <row r="276" spans="1:6" x14ac:dyDescent="0.25">
      <c r="A276">
        <v>1278</v>
      </c>
      <c r="B276" t="s">
        <v>0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      'en-us','1278','ExceptionLog-PageTitle','Exception Log',getdate(),getdate())</v>
      </c>
    </row>
    <row r="277" spans="1:6" x14ac:dyDescent="0.25">
      <c r="A277">
        <v>1279</v>
      </c>
      <c r="B277" t="s">
        <v>0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      'en-us','1279','SearchByOrgin-Label','Search by Origin',getdate(),getdate())</v>
      </c>
    </row>
    <row r="278" spans="1:6" x14ac:dyDescent="0.25">
      <c r="A278">
        <v>1280</v>
      </c>
      <c r="B278" t="s">
        <v>0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      'en-us','1280','Origin-Label','Origin',getdate(),getdate())</v>
      </c>
    </row>
    <row r="279" spans="1:6" x14ac:dyDescent="0.25">
      <c r="A279">
        <v>1281</v>
      </c>
      <c r="B279" t="s">
        <v>0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      'en-us','1281','TargetSite-Label','Target Site',getdate(),getdate())</v>
      </c>
    </row>
    <row r="280" spans="1:6" x14ac:dyDescent="0.25">
      <c r="A280">
        <v>1282</v>
      </c>
      <c r="B280" t="s">
        <v>0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      'en-us','1282','ErrMessage-Label','Err Message',getdate(),getdate())</v>
      </c>
    </row>
    <row r="281" spans="1:6" x14ac:dyDescent="0.25">
      <c r="A281">
        <v>1283</v>
      </c>
      <c r="B281" t="s">
        <v>0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      'en-us','1283','StackTrace-Label','Stack Trace',getdate(),getdate())</v>
      </c>
    </row>
    <row r="282" spans="1:6" x14ac:dyDescent="0.25">
      <c r="A282">
        <v>1284</v>
      </c>
      <c r="B282" t="s">
        <v>0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      'en-us','1284','ClientIP-Label','Client IP',getdate(),getdate())</v>
      </c>
    </row>
    <row r="283" spans="1:6" x14ac:dyDescent="0.25">
      <c r="A283">
        <v>1285</v>
      </c>
      <c r="B283" t="s">
        <v>0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      'en-us','1285','SearchByConfigName-Label','By Config Name',getdate(),getdate())</v>
      </c>
    </row>
    <row r="284" spans="1:6" x14ac:dyDescent="0.25">
      <c r="A284">
        <v>1286</v>
      </c>
      <c r="B284" t="s">
        <v>0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      'en-us','1286','SearchByConfigName-Description','Search by Config Name',getdate(),getdate())</v>
      </c>
    </row>
    <row r="285" spans="1:6" x14ac:dyDescent="0.25">
      <c r="A285">
        <v>1287</v>
      </c>
      <c r="B285" t="s">
        <v>0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      'en-us','1287','NewConfig-Label','New Config',getdate(),getdate())</v>
      </c>
    </row>
    <row r="286" spans="1:6" x14ac:dyDescent="0.25">
      <c r="A286">
        <v>1288</v>
      </c>
      <c r="B286" t="s">
        <v>0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      'en-us','1288','NewConfig-Description','Click here to create new Config',getdate(),getdate())</v>
      </c>
    </row>
    <row r="287" spans="1:6" x14ac:dyDescent="0.25">
      <c r="A287">
        <v>1289</v>
      </c>
      <c r="B287" t="s">
        <v>0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      'en-us','1289','ConfigName','Config Name',getdate(),getdate())</v>
      </c>
    </row>
    <row r="288" spans="1:6" x14ac:dyDescent="0.25">
      <c r="A288">
        <v>1290</v>
      </c>
      <c r="B288" t="s">
        <v>0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      'en-us','1290','ConfigRecord-Label','Config Record',getdate(),getdate())</v>
      </c>
    </row>
    <row r="289" spans="1:6" x14ac:dyDescent="0.25">
      <c r="A289">
        <v>1291</v>
      </c>
      <c r="B289" t="s">
        <v>0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      'en-us','1291','ConfigName-Label','Config Name',getdate(),getdate())</v>
      </c>
    </row>
    <row r="290" spans="1:6" x14ac:dyDescent="0.25">
      <c r="A290">
        <v>1292</v>
      </c>
      <c r="B290" t="s">
        <v>0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      'en-us','1292','ConfigValue-Label','Config Value',getdate(),getdate())</v>
      </c>
    </row>
    <row r="291" spans="1:6" x14ac:dyDescent="0.25">
      <c r="A291">
        <v>1293</v>
      </c>
      <c r="B291" t="s">
        <v>0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      'en-us','1293','ConfigValue','Config Value',getdate(),getdate())</v>
      </c>
    </row>
    <row r="292" spans="1:6" x14ac:dyDescent="0.25">
      <c r="A292">
        <v>1294</v>
      </c>
      <c r="B292" t="s">
        <v>0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      'en-us','1294','SaveConfigButton-Label','Save Config',getdate(),getdate())</v>
      </c>
    </row>
    <row r="293" spans="1:6" x14ac:dyDescent="0.25">
      <c r="A293">
        <v>1295</v>
      </c>
      <c r="B293" t="s">
        <v>0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      'en-us','1295','SaveConfigButton-Description','Click here to save Config',getdate(),getdate())</v>
      </c>
    </row>
    <row r="294" spans="1:6" x14ac:dyDescent="0.25">
      <c r="A294">
        <v>1296</v>
      </c>
      <c r="B294" t="s">
        <v>0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ref="F294" si="28">"insert into sysLocalizationText Values(" &amp;A294 &amp; "," &amp; B294 &amp; "," &amp;C294 &amp; "," &amp; D294 &amp; "," &amp; E294 &amp; ",getdate(),getdate())"</f>
        <v>insert into sysLocalizationText Values(1296,      'en-us','1296','Configs-PageTitle','Configurations',getdate(),getdate())</v>
      </c>
    </row>
    <row r="295" spans="1:6" x14ac:dyDescent="0.25">
      <c r="A295">
        <v>1297</v>
      </c>
      <c r="B295" t="s">
        <v>0</v>
      </c>
      <c r="C295" t="str">
        <f t="shared" ref="C295" si="29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ref="F295" si="30">"insert into sysLocalizationText Values(" &amp;A295 &amp; "," &amp; B295 &amp; "," &amp;C295 &amp; "," &amp; D295 &amp; "," &amp; E295 &amp; ",getdate(),getdate())"</f>
        <v>insert into sysLocalizationText Values(1297,      'en-us','1297','Logout-Label','Logout',getdate(),getdate())</v>
      </c>
    </row>
    <row r="296" spans="1:6" x14ac:dyDescent="0.25">
      <c r="A296">
        <v>1298</v>
      </c>
      <c r="B296" t="s">
        <v>0</v>
      </c>
      <c r="C296" t="str">
        <f t="shared" ref="C296" si="31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ref="F296" si="32">"insert into sysLocalizationText Values(" &amp;A296 &amp; "," &amp; B296 &amp; "," &amp;C296 &amp; "," &amp; D296 &amp; "," &amp; E296 &amp; ",getdate(),getdate())"</f>
        <v>insert into sysLocalizationText Values(1298,      'en-us','1298','AlterProfileImage-Description','Drag the file here you wish to upload, or click on buttom above to browse.',getdate(),getdate())</v>
      </c>
    </row>
    <row r="297" spans="1:6" x14ac:dyDescent="0.25">
      <c r="A297">
        <v>1299</v>
      </c>
      <c r="B297" t="s">
        <v>0</v>
      </c>
      <c r="C297" t="str">
        <f t="shared" ref="C297:C311" si="33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ref="F297:F310" si="34">"insert into sysLocalizationText Values(" &amp;A297 &amp; "," &amp; B297 &amp; "," &amp;C297 &amp; "," &amp; D297 &amp; "," &amp; E297 &amp; ",getdate(),getdate())"</f>
        <v>insert into sysLocalizationText Values(1299,      'en-us','1299','Menu-Superadmin','Super Admin',getdate(),getdate())</v>
      </c>
    </row>
    <row r="298" spans="1:6" x14ac:dyDescent="0.25">
      <c r="A298">
        <v>1300</v>
      </c>
      <c r="B298" t="s">
        <v>0</v>
      </c>
      <c r="C298" t="str">
        <f t="shared" si="33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34"/>
        <v>insert into sysLocalizationText Values(1300,      'en-us','1300','Menu-Configs','Business Configs',getdate(),getdate())</v>
      </c>
    </row>
    <row r="299" spans="1:6" x14ac:dyDescent="0.25">
      <c r="A299">
        <v>1301</v>
      </c>
      <c r="B299" t="s">
        <v>0</v>
      </c>
      <c r="C299" t="str">
        <f t="shared" si="33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34"/>
        <v>insert into sysLocalizationText Values(1301,      'en-us','1301','Menu-Instance','Instances',getdate(),getdate())</v>
      </c>
    </row>
    <row r="300" spans="1:6" x14ac:dyDescent="0.25">
      <c r="A300">
        <v>1302</v>
      </c>
      <c r="B300" t="s">
        <v>0</v>
      </c>
      <c r="C300" t="str">
        <f t="shared" si="33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34"/>
        <v>insert into sysLocalizationText Values(1302,      'en-us','1302','Menu-Roles','Roles',getdate(),getdate())</v>
      </c>
    </row>
    <row r="301" spans="1:6" x14ac:dyDescent="0.25">
      <c r="A301">
        <v>1303</v>
      </c>
      <c r="B301" t="s">
        <v>0</v>
      </c>
      <c r="C301" t="str">
        <f t="shared" si="33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34"/>
        <v>insert into sysLocalizationText Values(1303,      'en-us','1303','Menu-ObjectPermissions','Object Permissions',getdate(),getdate())</v>
      </c>
    </row>
    <row r="302" spans="1:6" x14ac:dyDescent="0.25">
      <c r="A302">
        <v>1304</v>
      </c>
      <c r="B302" t="s">
        <v>0</v>
      </c>
      <c r="C302" t="str">
        <f t="shared" si="33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34"/>
        <v>insert into sysLocalizationText Values(1304,      'en-us','1304','Menu-Permissions','Permissions',getdate(),getdate())</v>
      </c>
    </row>
    <row r="303" spans="1:6" x14ac:dyDescent="0.25">
      <c r="A303">
        <v>1305</v>
      </c>
      <c r="B303" t="s">
        <v>0</v>
      </c>
      <c r="C303" t="str">
        <f t="shared" si="33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34"/>
        <v>insert into sysLocalizationText Values(1305,      'en-us','1305','Menu-Users','Users',getdate(),getdate())</v>
      </c>
    </row>
    <row r="304" spans="1:6" x14ac:dyDescent="0.25">
      <c r="A304">
        <v>1306</v>
      </c>
      <c r="B304" t="s">
        <v>0</v>
      </c>
      <c r="C304" t="str">
        <f t="shared" si="33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34"/>
        <v>insert into sysLocalizationText Values(1306,      'en-us','1306','Menu-LocalizationTexts','Localization Texts',getdate(),getdate())</v>
      </c>
    </row>
    <row r="305" spans="1:6" x14ac:dyDescent="0.25">
      <c r="A305">
        <v>1307</v>
      </c>
      <c r="B305" t="s">
        <v>0</v>
      </c>
      <c r="C305" t="str">
        <f t="shared" si="33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34"/>
        <v>insert into sysLocalizationText Values(1307,      'en-us','1307','Menu-GroupParameters','Group Parameters',getdate(),getdate())</v>
      </c>
    </row>
    <row r="306" spans="1:6" x14ac:dyDescent="0.25">
      <c r="A306">
        <v>1308</v>
      </c>
      <c r="B306" t="s">
        <v>0</v>
      </c>
      <c r="C306" t="str">
        <f t="shared" si="33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34"/>
        <v>insert into sysLocalizationText Values(1308,      'en-us','1308','Menu-Parameters','Parameters',getdate(),getdate())</v>
      </c>
    </row>
    <row r="307" spans="1:6" x14ac:dyDescent="0.25">
      <c r="A307">
        <v>1309</v>
      </c>
      <c r="B307" t="s">
        <v>0</v>
      </c>
      <c r="C307" t="str">
        <f t="shared" si="33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34"/>
        <v>insert into sysLocalizationText Values(1309,      'en-us','1309','Menu-Monitoring','Monitoring',getdate(),getdate())</v>
      </c>
    </row>
    <row r="308" spans="1:6" x14ac:dyDescent="0.25">
      <c r="A308">
        <v>1310</v>
      </c>
      <c r="B308" t="s">
        <v>0</v>
      </c>
      <c r="C308" t="str">
        <f t="shared" si="33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34"/>
        <v>insert into sysLocalizationText Values(1310,      'en-us','1310','Menu-SessionLog','Session Log',getdate(),getdate())</v>
      </c>
    </row>
    <row r="309" spans="1:6" x14ac:dyDescent="0.25">
      <c r="A309">
        <v>1311</v>
      </c>
      <c r="B309" t="s">
        <v>0</v>
      </c>
      <c r="C309" t="str">
        <f t="shared" si="33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34"/>
        <v>insert into sysLocalizationText Values(1311,      'en-us','1311','Menu-DataLog','Data Log',getdate(),getdate())</v>
      </c>
    </row>
    <row r="310" spans="1:6" x14ac:dyDescent="0.25">
      <c r="A310">
        <v>1312</v>
      </c>
      <c r="B310" t="s">
        <v>0</v>
      </c>
      <c r="C310" t="str">
        <f t="shared" si="33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34"/>
        <v>insert into sysLocalizationText Values(1312,      'en-us','1312','Menu-ExceptionLog','Exception Log',getdate(),getdate())</v>
      </c>
    </row>
    <row r="311" spans="1:6" x14ac:dyDescent="0.25">
      <c r="A311">
        <v>1313</v>
      </c>
      <c r="B311" t="s">
        <v>0</v>
      </c>
      <c r="C311" t="str">
        <f t="shared" si="33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ref="F311" si="35">"insert into sysLocalizationText Values(" &amp;A311 &amp; "," &amp; B311 &amp; "," &amp;C311 &amp; "," &amp; D311 &amp; "," &amp; E311 &amp; ",getdate(),getdate())"</f>
        <v>insert into sysLocalizationText Values(1313,      'en-us','1313','Editing-Label','Editing',getdate(),getdate())</v>
      </c>
    </row>
    <row r="312" spans="1:6" x14ac:dyDescent="0.25">
      <c r="A312">
        <v>1314</v>
      </c>
      <c r="B312" t="s">
        <v>0</v>
      </c>
      <c r="C312" t="str">
        <f t="shared" ref="C312" si="36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ref="F312" si="37">"insert into sysLocalizationText Values(" &amp;A312 &amp; "," &amp; B312 &amp; "," &amp;C312 &amp; "," &amp; D312 &amp; "," &amp; E312 &amp; ",getdate(),getdate())"</f>
        <v>insert into sysLocalizationText Values(1314,      'en-us','1314','Inserting-Label','Inserting',getdate(),getdate())</v>
      </c>
    </row>
    <row r="313" spans="1:6" x14ac:dyDescent="0.25">
      <c r="A313">
        <v>1315</v>
      </c>
      <c r="B313" t="s">
        <v>0</v>
      </c>
      <c r="C313" t="str">
        <f t="shared" ref="C313" si="38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ref="F313" si="39">"insert into sysLocalizationText Values(" &amp;A313 &amp; "," &amp; B313 &amp; "," &amp;C313 &amp; "," &amp; D313 &amp; "," &amp; E313 &amp; ",getdate(),getdate())"</f>
        <v>insert into sysLocalizationText Values(1315,      'en-us','1315','RemoveConfirmation-Label','Are you sure to remove this record?',getdate(),getdate())</v>
      </c>
    </row>
    <row r="314" spans="1:6" x14ac:dyDescent="0.25">
      <c r="A314">
        <v>1316</v>
      </c>
      <c r="B314" t="s">
        <v>0</v>
      </c>
      <c r="C314" t="str">
        <f t="shared" ref="C314:C315" si="40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ref="F314:F315" si="41">"insert into sysLocalizationText Values(" &amp;A314 &amp; "," &amp; B314 &amp; "," &amp;C314 &amp; "," &amp; D314 &amp; "," &amp; E314 &amp; ",getdate(),getdate())"</f>
        <v>insert into sysLocalizationText Values(1316,      'en-us','1316','RemoveConfirmation-Message','The record was removed successfuly.',getdate(),getdate())</v>
      </c>
    </row>
    <row r="315" spans="1:6" x14ac:dyDescent="0.25">
      <c r="A315">
        <v>1317</v>
      </c>
      <c r="B315" t="s">
        <v>0</v>
      </c>
      <c r="C315" t="str">
        <f t="shared" si="40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41"/>
        <v>insert into sysLocalizationText Values(1317,      'en-us','1317','AllowRead-Label','Read',getdate(),getdate())</v>
      </c>
    </row>
    <row r="316" spans="1:6" x14ac:dyDescent="0.25">
      <c r="A316">
        <v>1318</v>
      </c>
      <c r="B316" t="s">
        <v>0</v>
      </c>
      <c r="C316" t="str">
        <f t="shared" ref="C316" si="42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ref="F316" si="43">"insert into sysLocalizationText Values(" &amp;A316 &amp; "," &amp; B316 &amp; "," &amp;C316 &amp; "," &amp; D316 &amp; "," &amp; E316 &amp; ",getdate(),getdate())"</f>
        <v>insert into sysLocalizationText Values(1318,      'en-us','1318','AllowSave-Label','Save',getdate(),getdate())</v>
      </c>
    </row>
    <row r="317" spans="1:6" x14ac:dyDescent="0.25">
      <c r="A317">
        <v>1319</v>
      </c>
      <c r="B317" t="s">
        <v>0</v>
      </c>
      <c r="C317" t="str">
        <f t="shared" ref="C317" si="44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ref="F317" si="45">"insert into sysLocalizationText Values(" &amp;A317 &amp; "," &amp; B317 &amp; "," &amp;C317 &amp; "," &amp; D317 &amp; "," &amp; E317 &amp; ",getdate(),getdate())"</f>
        <v>insert into sysLocalizationText Values(1319,      'en-us','1319','AllowDelete-Label','Delete',getdate(),getdate())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317"/>
  <sheetViews>
    <sheetView topLeftCell="A288" workbookViewId="0">
      <selection activeCell="F315" sqref="F315:F317"/>
    </sheetView>
  </sheetViews>
  <sheetFormatPr defaultRowHeight="15" x14ac:dyDescent="0.25"/>
  <cols>
    <col min="2" max="2" width="13.140625" customWidth="1"/>
    <col min="4" max="4" width="39.5703125" customWidth="1"/>
    <col min="5" max="5" width="76.140625" customWidth="1"/>
    <col min="6" max="6" width="92.42578125" customWidth="1"/>
  </cols>
  <sheetData>
    <row r="1" spans="1:14" x14ac:dyDescent="0.25">
      <c r="A1">
        <v>2001</v>
      </c>
      <c r="B1" t="s">
        <v>97</v>
      </c>
      <c r="C1" t="str">
        <f>"'" &amp; A1 &amp; "'"</f>
        <v>'2001'</v>
      </c>
      <c r="D1" t="s">
        <v>1</v>
      </c>
      <c r="E1" t="s">
        <v>98</v>
      </c>
      <c r="F1" t="str">
        <f>"insert into sysLocalizationText Values(" &amp;A1 &amp; "," &amp; B1 &amp; "," &amp;C1 &amp; "," &amp; D1 &amp; "," &amp; E1 &amp; ",getdate(),getdate())"</f>
        <v>insert into sysLocalizationText Values(2001,      'pt-br','2001',     'Execution-Error',    'Erro de execução ',getdate(),getdate())</v>
      </c>
      <c r="N1" t="str">
        <f>"'"</f>
        <v>'</v>
      </c>
    </row>
    <row r="2" spans="1:14" x14ac:dyDescent="0.25">
      <c r="A2">
        <v>2002</v>
      </c>
      <c r="B2" t="s">
        <v>97</v>
      </c>
      <c r="C2" t="str">
        <f t="shared" ref="C2:C65" si="0">"'" &amp; A2 &amp; "'"</f>
        <v>'2002'</v>
      </c>
      <c r="D2" t="s">
        <v>3</v>
      </c>
      <c r="E2" t="s">
        <v>99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Values(2002,      'pt-br','2002',     'Validation-Error',    'Erro na validação de dados.',getdate(),getdate())</v>
      </c>
    </row>
    <row r="3" spans="1:14" x14ac:dyDescent="0.25">
      <c r="A3">
        <v>2003</v>
      </c>
      <c r="B3" t="s">
        <v>97</v>
      </c>
      <c r="C3" t="str">
        <f t="shared" si="0"/>
        <v>'2003'</v>
      </c>
      <c r="D3" t="s">
        <v>5</v>
      </c>
      <c r="E3" t="s">
        <v>100</v>
      </c>
      <c r="F3" t="str">
        <f t="shared" si="1"/>
        <v>insert into sysLocalizationText Values(2003,      'pt-br','2003',     'Record-NotFound',    'O registro solicitado não foi encontrado.',getdate(),getdate())</v>
      </c>
    </row>
    <row r="4" spans="1:14" x14ac:dyDescent="0.25">
      <c r="A4">
        <v>2004</v>
      </c>
      <c r="B4" t="s">
        <v>97</v>
      </c>
      <c r="C4" t="str">
        <f t="shared" si="0"/>
        <v>'2004'</v>
      </c>
      <c r="D4" t="s">
        <v>7</v>
      </c>
      <c r="E4" t="s">
        <v>151</v>
      </c>
      <c r="F4" t="str">
        <f t="shared" si="1"/>
        <v>insert into sysLocalizationText Values(2004,      'pt-br','2004',     'Login-Invalid-Password',    'Senha inválida. Você ainda tem {0} tentativas antes da conta ser desativada.',getdate(),getdate())</v>
      </c>
    </row>
    <row r="5" spans="1:14" x14ac:dyDescent="0.25">
      <c r="A5">
        <v>2005</v>
      </c>
      <c r="B5" t="s">
        <v>97</v>
      </c>
      <c r="C5" t="str">
        <f t="shared" si="0"/>
        <v>'2005'</v>
      </c>
      <c r="D5" t="s">
        <v>9</v>
      </c>
      <c r="E5" t="s">
        <v>101</v>
      </c>
      <c r="F5" t="str">
        <f t="shared" si="1"/>
        <v>insert into sysLocalizationText Values(2005,      'pt-br','2005',     'Login-Attempts',    'Você já utilizou as tentativas de acesso e a conta foi desativada. Solicite a ativação.',getdate(),getdate())</v>
      </c>
    </row>
    <row r="6" spans="1:14" x14ac:dyDescent="0.25">
      <c r="A6">
        <v>2006</v>
      </c>
      <c r="B6" t="s">
        <v>97</v>
      </c>
      <c r="C6" t="str">
        <f t="shared" si="0"/>
        <v>'2006'</v>
      </c>
      <c r="D6" t="s">
        <v>11</v>
      </c>
      <c r="E6" t="s">
        <v>102</v>
      </c>
      <c r="F6" t="str">
        <f t="shared" si="1"/>
        <v>insert into sysLocalizationText Values(2006,      'pt-br','2006',     'Login-Inactive-Account',    'A conta associada ao Usuário não está ativa. Solicite a ativação da conta.',getdate(),getdate())</v>
      </c>
    </row>
    <row r="7" spans="1:14" x14ac:dyDescent="0.25">
      <c r="A7">
        <v>2007</v>
      </c>
      <c r="B7" t="s">
        <v>97</v>
      </c>
      <c r="C7" t="str">
        <f t="shared" si="0"/>
        <v>'2007'</v>
      </c>
      <c r="D7" t="s">
        <v>13</v>
      </c>
      <c r="E7" t="s">
        <v>103</v>
      </c>
      <c r="F7" t="str">
        <f t="shared" si="1"/>
        <v>insert into sysLocalizationText Values(2007,      'pt-br','2007',     'Login-Locked-Account',    'A conta associada ao Usuário está bloqueada. Contate o administrador do sistema.',getdate(),getdate())</v>
      </c>
    </row>
    <row r="8" spans="1:14" x14ac:dyDescent="0.25">
      <c r="A8">
        <v>2008</v>
      </c>
      <c r="B8" t="s">
        <v>97</v>
      </c>
      <c r="C8" t="str">
        <f t="shared" si="0"/>
        <v>'2008'</v>
      </c>
      <c r="D8" t="s">
        <v>15</v>
      </c>
      <c r="E8" t="s">
        <v>104</v>
      </c>
      <c r="F8" t="str">
        <f t="shared" si="1"/>
        <v>insert into sysLocalizationText Values(2008,      'pt-br','2008',     'Login-User-NotFound',    'Usuário não encontrado.',getdate(),getdate())</v>
      </c>
    </row>
    <row r="9" spans="1:14" x14ac:dyDescent="0.25">
      <c r="A9">
        <v>2009</v>
      </c>
      <c r="B9" t="s">
        <v>97</v>
      </c>
      <c r="C9" t="str">
        <f t="shared" si="0"/>
        <v>'2009'</v>
      </c>
      <c r="D9" t="s">
        <v>17</v>
      </c>
      <c r="E9" t="s">
        <v>105</v>
      </c>
      <c r="F9" t="str">
        <f t="shared" si="1"/>
        <v>insert into sysLocalizationText Values(2009,      'pt-br','2009',     'User-Exists',    'Já existe um usuário com o e-mail ',getdate(),getdate())</v>
      </c>
    </row>
    <row r="10" spans="1:14" x14ac:dyDescent="0.25">
      <c r="A10">
        <v>2010</v>
      </c>
      <c r="B10" t="s">
        <v>97</v>
      </c>
      <c r="C10" t="str">
        <f t="shared" si="0"/>
        <v>'2010'</v>
      </c>
      <c r="D10" t="s">
        <v>19</v>
      </c>
      <c r="E10" t="s">
        <v>106</v>
      </c>
      <c r="F10" t="str">
        <f t="shared" si="1"/>
        <v>insert into sysLocalizationText Values(2010,      'pt-br','2010',     'Email-Exists',    'O e-mail informado já existe.',getdate(),getdate())</v>
      </c>
    </row>
    <row r="11" spans="1:14" x14ac:dyDescent="0.25">
      <c r="A11">
        <v>2011</v>
      </c>
      <c r="B11" t="s">
        <v>97</v>
      </c>
      <c r="C11" t="str">
        <f t="shared" si="0"/>
        <v>'2011'</v>
      </c>
      <c r="D11" t="s">
        <v>21</v>
      </c>
      <c r="E11" t="s">
        <v>107</v>
      </c>
      <c r="F11" t="str">
        <f t="shared" si="1"/>
        <v>insert into sysLocalizationText Values(2011,      'pt-br','2011',     'Profile-NotBe-Null',    'O Perfil não pode ser nulo.',getdate(),getdate())</v>
      </c>
    </row>
    <row r="12" spans="1:14" x14ac:dyDescent="0.25">
      <c r="A12">
        <v>2012</v>
      </c>
      <c r="B12" t="s">
        <v>97</v>
      </c>
      <c r="C12" t="str">
        <f t="shared" si="0"/>
        <v>'2012'</v>
      </c>
      <c r="D12" t="s">
        <v>23</v>
      </c>
      <c r="E12" t="s">
        <v>108</v>
      </c>
      <c r="F12" t="str">
        <f t="shared" si="1"/>
        <v>insert into sysLocalizationText Values(2012,      'pt-br','2012',     'User-Error-Exclude-Childs',    'Houve um erro ao excluir os itens filhos (Roles).',getdate(),getdate())</v>
      </c>
    </row>
    <row r="13" spans="1:14" x14ac:dyDescent="0.25">
      <c r="A13">
        <v>2013</v>
      </c>
      <c r="B13" t="s">
        <v>97</v>
      </c>
      <c r="C13" t="str">
        <f t="shared" si="0"/>
        <v>'2013'</v>
      </c>
      <c r="D13" t="s">
        <v>25</v>
      </c>
      <c r="E13" t="s">
        <v>109</v>
      </c>
      <c r="F13" t="str">
        <f t="shared" si="1"/>
        <v>insert into sysLocalizationText Values(2013,      'pt-br','2013',     'User-Invalid-Password-Code',    'O código de autorização de troca de senha é inválido.',getdate(),getdate())</v>
      </c>
    </row>
    <row r="14" spans="1:14" x14ac:dyDescent="0.25">
      <c r="A14">
        <v>2014</v>
      </c>
      <c r="B14" t="s">
        <v>97</v>
      </c>
      <c r="C14" t="str">
        <f t="shared" si="0"/>
        <v>'2014'</v>
      </c>
      <c r="D14" t="s">
        <v>27</v>
      </c>
      <c r="E14" t="s">
        <v>110</v>
      </c>
      <c r="F14" t="str">
        <f t="shared" si="1"/>
        <v>insert into sysLocalizationText Values(2014,      'pt-br','2014',     'Account-Active',    'A conta associada ao Usuário já está ativa.',getdate(),getdate())</v>
      </c>
    </row>
    <row r="15" spans="1:14" x14ac:dyDescent="0.25">
      <c r="A15">
        <v>2015</v>
      </c>
      <c r="B15" t="s">
        <v>97</v>
      </c>
      <c r="C15" t="str">
        <f t="shared" si="0"/>
        <v>'2015'</v>
      </c>
      <c r="D15" t="s">
        <v>29</v>
      </c>
      <c r="E15" t="s">
        <v>111</v>
      </c>
      <c r="F15" t="str">
        <f t="shared" si="1"/>
        <v>insert into sysLocalizationText Values(2015,      'pt-br','2015',     'User-Invalid-Activation-Code',    'O código de autorização de ativação é inválido.',getdate(),getdate())</v>
      </c>
    </row>
    <row r="16" spans="1:14" x14ac:dyDescent="0.25">
      <c r="A16">
        <v>2016</v>
      </c>
      <c r="B16" t="s">
        <v>97</v>
      </c>
      <c r="C16" t="str">
        <f t="shared" si="0"/>
        <v>'2016'</v>
      </c>
      <c r="D16" t="s">
        <v>31</v>
      </c>
      <c r="E16" t="s">
        <v>112</v>
      </c>
      <c r="F16" t="str">
        <f t="shared" si="1"/>
        <v>insert into sysLocalizationText Values(2016,      'pt-br','2016',     'User-No-Image',    'Envie o arquivo da imagem.',getdate(),getdate())</v>
      </c>
    </row>
    <row r="17" spans="1:6" x14ac:dyDescent="0.25">
      <c r="A17">
        <v>2017</v>
      </c>
      <c r="B17" t="s">
        <v>97</v>
      </c>
      <c r="C17" t="str">
        <f t="shared" si="0"/>
        <v>'2017'</v>
      </c>
      <c r="D17" t="s">
        <v>33</v>
      </c>
      <c r="E17" t="s">
        <v>113</v>
      </c>
      <c r="F17" t="str">
        <f t="shared" si="1"/>
        <v>insert into sysLocalizationText Values(2017,      'pt-br','2017',     'User-Role-Exists',    'Esta Role já está associada ao usuário.',getdate(),getdate())</v>
      </c>
    </row>
    <row r="18" spans="1:6" x14ac:dyDescent="0.25">
      <c r="A18">
        <v>2018</v>
      </c>
      <c r="B18" t="s">
        <v>97</v>
      </c>
      <c r="C18" t="str">
        <f t="shared" si="0"/>
        <v>'2018'</v>
      </c>
      <c r="D18" t="s">
        <v>35</v>
      </c>
      <c r="E18" t="s">
        <v>114</v>
      </c>
      <c r="F18" t="str">
        <f t="shared" si="1"/>
        <v>insert into sysLocalizationText Values(2018,      'pt-br','2018',     'User-Role-No-Exists',    'Esta Role não pertence ao usuário.',getdate(),getdate())</v>
      </c>
    </row>
    <row r="19" spans="1:6" x14ac:dyDescent="0.25">
      <c r="A19">
        <v>2019</v>
      </c>
      <c r="B19" t="s">
        <v>97</v>
      </c>
      <c r="C19" t="str">
        <f t="shared" si="0"/>
        <v>'2019'</v>
      </c>
      <c r="D19" t="s">
        <v>37</v>
      </c>
      <c r="E19" t="s">
        <v>115</v>
      </c>
      <c r="F19" t="str">
        <f t="shared" si="1"/>
        <v>insert into sysLocalizationText Values(2019,      'pt-br','2019',     'Http-Unauthorized',    'Acesso não autorizado',getdate(),getdate())</v>
      </c>
    </row>
    <row r="20" spans="1:6" x14ac:dyDescent="0.25">
      <c r="A20">
        <v>2020</v>
      </c>
      <c r="B20" t="s">
        <v>97</v>
      </c>
      <c r="C20" t="str">
        <f t="shared" si="0"/>
        <v>'2020'</v>
      </c>
      <c r="D20" t="s">
        <v>39</v>
      </c>
      <c r="E20" t="s">
        <v>116</v>
      </c>
      <c r="F20" t="str">
        <f t="shared" si="1"/>
        <v>insert into sysLocalizationText Values(2020,      'pt-br','2020',     'Http-NotFound',    'O recurso não foi encontrado',getdate(),getdate())</v>
      </c>
    </row>
    <row r="21" spans="1:6" x14ac:dyDescent="0.25">
      <c r="A21">
        <v>2021</v>
      </c>
      <c r="B21" t="s">
        <v>97</v>
      </c>
      <c r="C21" t="str">
        <f t="shared" si="0"/>
        <v>'2021'</v>
      </c>
      <c r="D21" t="s">
        <v>41</v>
      </c>
      <c r="E21" t="s">
        <v>117</v>
      </c>
      <c r="F21" t="str">
        <f t="shared" si="1"/>
        <v>insert into sysLocalizationText Values(2021,      'pt-br','2021',     'Http-Forbidden',    'Perfil do usuário sem permissão de acesso',getdate(),getdate())</v>
      </c>
    </row>
    <row r="22" spans="1:6" x14ac:dyDescent="0.25">
      <c r="A22">
        <v>2022</v>
      </c>
      <c r="B22" t="s">
        <v>97</v>
      </c>
      <c r="C22" t="str">
        <f t="shared" si="0"/>
        <v>'2022'</v>
      </c>
      <c r="D22" t="s">
        <v>43</v>
      </c>
      <c r="E22" t="s">
        <v>118</v>
      </c>
      <c r="F22" t="str">
        <f t="shared" si="1"/>
        <v>insert into sysLocalizationText Values(2022,      'pt-br','2022',     'Http-500Error',    'Ocorreu um erro no processamento da requisição.',getdate(),getdate())</v>
      </c>
    </row>
    <row r="23" spans="1:6" x14ac:dyDescent="0.25">
      <c r="A23">
        <v>2023</v>
      </c>
      <c r="B23" t="s">
        <v>97</v>
      </c>
      <c r="C23" t="str">
        <f t="shared" si="0"/>
        <v>'2023'</v>
      </c>
      <c r="D23" t="s">
        <v>45</v>
      </c>
      <c r="E23" t="s">
        <v>119</v>
      </c>
      <c r="F23" t="str">
        <f t="shared" si="1"/>
        <v>insert into sysLocalizationText Values(2023,      'pt-br','2023',     'Http-ServiceUnavailable',    'O serviço solicitado está indisponível.',getdate(),getdate())</v>
      </c>
    </row>
    <row r="24" spans="1:6" x14ac:dyDescent="0.25">
      <c r="A24">
        <v>2024</v>
      </c>
      <c r="B24" t="s">
        <v>97</v>
      </c>
      <c r="C24" t="str">
        <f t="shared" si="0"/>
        <v>'2024'</v>
      </c>
      <c r="D24" t="s">
        <v>47</v>
      </c>
      <c r="E24" t="s">
        <v>120</v>
      </c>
      <c r="F24" t="str">
        <f t="shared" si="1"/>
        <v>insert into sysLocalizationText Values(2024,      'pt-br','2024',     'API-Unexpected-Exception',    'Erro inesperado não identificado GetInnerExceptions@f2]',getdate(),getdate())</v>
      </c>
    </row>
    <row r="25" spans="1:6" x14ac:dyDescent="0.25">
      <c r="A25">
        <v>2025</v>
      </c>
      <c r="B25" t="s">
        <v>97</v>
      </c>
      <c r="C25" t="str">
        <f t="shared" si="0"/>
        <v>'2025'</v>
      </c>
      <c r="D25" t="s">
        <v>49</v>
      </c>
      <c r="E25" t="s">
        <v>121</v>
      </c>
      <c r="F25" t="str">
        <f t="shared" si="1"/>
        <v>insert into sysLocalizationText Values(2025,      'pt-br','2025',     'ShortDayName-1',    'Dom',getdate(),getdate())</v>
      </c>
    </row>
    <row r="26" spans="1:6" x14ac:dyDescent="0.25">
      <c r="A26">
        <v>2026</v>
      </c>
      <c r="B26" t="s">
        <v>97</v>
      </c>
      <c r="C26" t="str">
        <f t="shared" si="0"/>
        <v>'2026'</v>
      </c>
      <c r="D26" t="s">
        <v>51</v>
      </c>
      <c r="E26" t="s">
        <v>122</v>
      </c>
      <c r="F26" t="str">
        <f t="shared" si="1"/>
        <v>insert into sysLocalizationText Values(2026,      'pt-br','2026',     'ShortDayName-2',    'Seg',getdate(),getdate())</v>
      </c>
    </row>
    <row r="27" spans="1:6" x14ac:dyDescent="0.25">
      <c r="A27">
        <v>2027</v>
      </c>
      <c r="B27" t="s">
        <v>97</v>
      </c>
      <c r="C27" t="str">
        <f t="shared" si="0"/>
        <v>'2027'</v>
      </c>
      <c r="D27" t="s">
        <v>53</v>
      </c>
      <c r="E27" t="s">
        <v>123</v>
      </c>
      <c r="F27" t="str">
        <f t="shared" si="1"/>
        <v>insert into sysLocalizationText Values(2027,      'pt-br','2027',     'ShortDayName-3',    'Ter',getdate(),getdate())</v>
      </c>
    </row>
    <row r="28" spans="1:6" x14ac:dyDescent="0.25">
      <c r="A28">
        <v>2028</v>
      </c>
      <c r="B28" t="s">
        <v>97</v>
      </c>
      <c r="C28" t="str">
        <f t="shared" si="0"/>
        <v>'2028'</v>
      </c>
      <c r="D28" t="s">
        <v>55</v>
      </c>
      <c r="E28" t="s">
        <v>124</v>
      </c>
      <c r="F28" t="str">
        <f t="shared" si="1"/>
        <v>insert into sysLocalizationText Values(2028,      'pt-br','2028',     'ShortDayName-4',    'Qua',getdate(),getdate())</v>
      </c>
    </row>
    <row r="29" spans="1:6" x14ac:dyDescent="0.25">
      <c r="A29">
        <v>2029</v>
      </c>
      <c r="B29" t="s">
        <v>97</v>
      </c>
      <c r="C29" t="str">
        <f t="shared" si="0"/>
        <v>'2029'</v>
      </c>
      <c r="D29" t="s">
        <v>57</v>
      </c>
      <c r="E29" t="s">
        <v>125</v>
      </c>
      <c r="F29" t="str">
        <f t="shared" si="1"/>
        <v>insert into sysLocalizationText Values(2029,      'pt-br','2029',     'ShortDayName-5',    'Qui',getdate(),getdate())</v>
      </c>
    </row>
    <row r="30" spans="1:6" x14ac:dyDescent="0.25">
      <c r="A30">
        <v>2030</v>
      </c>
      <c r="B30" t="s">
        <v>97</v>
      </c>
      <c r="C30" t="str">
        <f t="shared" si="0"/>
        <v>'2030'</v>
      </c>
      <c r="D30" t="s">
        <v>59</v>
      </c>
      <c r="E30" t="s">
        <v>126</v>
      </c>
      <c r="F30" t="str">
        <f t="shared" si="1"/>
        <v>insert into sysLocalizationText Values(2030,      'pt-br','2030',     'ShortDayName-6',    'Sex',getdate(),getdate())</v>
      </c>
    </row>
    <row r="31" spans="1:6" x14ac:dyDescent="0.25">
      <c r="A31">
        <v>2031</v>
      </c>
      <c r="B31" t="s">
        <v>97</v>
      </c>
      <c r="C31" t="str">
        <f t="shared" si="0"/>
        <v>'2031'</v>
      </c>
      <c r="D31" t="s">
        <v>61</v>
      </c>
      <c r="E31" t="s">
        <v>127</v>
      </c>
      <c r="F31" t="str">
        <f t="shared" si="1"/>
        <v>insert into sysLocalizationText Values(2031,      'pt-br','2031',     'ShortDayName-7',    'Sáb',getdate(),getdate())</v>
      </c>
    </row>
    <row r="32" spans="1:6" x14ac:dyDescent="0.25">
      <c r="A32">
        <v>2032</v>
      </c>
      <c r="B32" t="s">
        <v>97</v>
      </c>
      <c r="C32" t="str">
        <f t="shared" si="0"/>
        <v>'2032'</v>
      </c>
      <c r="D32" t="s">
        <v>63</v>
      </c>
      <c r="E32" t="s">
        <v>128</v>
      </c>
      <c r="F32" t="str">
        <f t="shared" si="1"/>
        <v>insert into sysLocalizationText Values(2032,      'pt-br','2032',     'MonthName-1',    'JANEIRO',getdate(),getdate())</v>
      </c>
    </row>
    <row r="33" spans="1:6" x14ac:dyDescent="0.25">
      <c r="A33">
        <v>2033</v>
      </c>
      <c r="B33" t="s">
        <v>97</v>
      </c>
      <c r="C33" t="str">
        <f t="shared" si="0"/>
        <v>'2033'</v>
      </c>
      <c r="D33" t="s">
        <v>65</v>
      </c>
      <c r="E33" t="s">
        <v>129</v>
      </c>
      <c r="F33" t="str">
        <f t="shared" si="1"/>
        <v>insert into sysLocalizationText Values(2033,      'pt-br','2033',     'MonthName-2',    'FEVEREIRO',getdate(),getdate())</v>
      </c>
    </row>
    <row r="34" spans="1:6" x14ac:dyDescent="0.25">
      <c r="A34">
        <v>2034</v>
      </c>
      <c r="B34" t="s">
        <v>97</v>
      </c>
      <c r="C34" t="str">
        <f t="shared" si="0"/>
        <v>'2034'</v>
      </c>
      <c r="D34" t="s">
        <v>67</v>
      </c>
      <c r="E34" t="s">
        <v>130</v>
      </c>
      <c r="F34" t="str">
        <f t="shared" si="1"/>
        <v>insert into sysLocalizationText Values(2034,      'pt-br','2034',     'MonthName-3',    'MARÇO',getdate(),getdate())</v>
      </c>
    </row>
    <row r="35" spans="1:6" x14ac:dyDescent="0.25">
      <c r="A35">
        <v>2035</v>
      </c>
      <c r="B35" t="s">
        <v>97</v>
      </c>
      <c r="C35" t="str">
        <f t="shared" si="0"/>
        <v>'2035'</v>
      </c>
      <c r="D35" t="s">
        <v>69</v>
      </c>
      <c r="E35" t="s">
        <v>131</v>
      </c>
      <c r="F35" t="str">
        <f t="shared" si="1"/>
        <v>insert into sysLocalizationText Values(2035,      'pt-br','2035',     'MonthName-4',    'ABRIL',getdate(),getdate())</v>
      </c>
    </row>
    <row r="36" spans="1:6" x14ac:dyDescent="0.25">
      <c r="A36">
        <v>2036</v>
      </c>
      <c r="B36" t="s">
        <v>97</v>
      </c>
      <c r="C36" t="str">
        <f t="shared" si="0"/>
        <v>'2036'</v>
      </c>
      <c r="D36" t="s">
        <v>71</v>
      </c>
      <c r="E36" t="s">
        <v>132</v>
      </c>
      <c r="F36" t="str">
        <f t="shared" si="1"/>
        <v>insert into sysLocalizationText Values(2036,      'pt-br','2036',     'MonthName-5',    'MAIO',getdate(),getdate())</v>
      </c>
    </row>
    <row r="37" spans="1:6" x14ac:dyDescent="0.25">
      <c r="A37">
        <v>2037</v>
      </c>
      <c r="B37" t="s">
        <v>97</v>
      </c>
      <c r="C37" t="str">
        <f t="shared" si="0"/>
        <v>'2037'</v>
      </c>
      <c r="D37" t="s">
        <v>73</v>
      </c>
      <c r="E37" t="s">
        <v>133</v>
      </c>
      <c r="F37" t="str">
        <f t="shared" si="1"/>
        <v>insert into sysLocalizationText Values(2037,      'pt-br','2037',     'MonthName-6',    'JUNHO',getdate(),getdate())</v>
      </c>
    </row>
    <row r="38" spans="1:6" x14ac:dyDescent="0.25">
      <c r="A38">
        <v>2038</v>
      </c>
      <c r="B38" t="s">
        <v>97</v>
      </c>
      <c r="C38" t="str">
        <f t="shared" si="0"/>
        <v>'2038'</v>
      </c>
      <c r="D38" t="s">
        <v>75</v>
      </c>
      <c r="E38" t="s">
        <v>134</v>
      </c>
      <c r="F38" t="str">
        <f t="shared" si="1"/>
        <v>insert into sysLocalizationText Values(2038,      'pt-br','2038',     'MonthName-7',    'JULHO',getdate(),getdate())</v>
      </c>
    </row>
    <row r="39" spans="1:6" x14ac:dyDescent="0.25">
      <c r="A39">
        <v>2039</v>
      </c>
      <c r="B39" t="s">
        <v>97</v>
      </c>
      <c r="C39" t="str">
        <f t="shared" si="0"/>
        <v>'2039'</v>
      </c>
      <c r="D39" t="s">
        <v>77</v>
      </c>
      <c r="E39" t="s">
        <v>135</v>
      </c>
      <c r="F39" t="str">
        <f t="shared" si="1"/>
        <v>insert into sysLocalizationText Values(2039,      'pt-br','2039',     'MonthName-8',    'AGOSTO',getdate(),getdate())</v>
      </c>
    </row>
    <row r="40" spans="1:6" x14ac:dyDescent="0.25">
      <c r="A40">
        <v>2040</v>
      </c>
      <c r="B40" t="s">
        <v>97</v>
      </c>
      <c r="C40" t="str">
        <f t="shared" si="0"/>
        <v>'2040'</v>
      </c>
      <c r="D40" t="s">
        <v>79</v>
      </c>
      <c r="E40" t="s">
        <v>136</v>
      </c>
      <c r="F40" t="str">
        <f t="shared" si="1"/>
        <v>insert into sysLocalizationText Values(2040,      'pt-br','2040',     'MonthName-9',    'SETEMBRO',getdate(),getdate())</v>
      </c>
    </row>
    <row r="41" spans="1:6" x14ac:dyDescent="0.25">
      <c r="A41">
        <v>2041</v>
      </c>
      <c r="B41" t="s">
        <v>97</v>
      </c>
      <c r="C41" t="str">
        <f t="shared" si="0"/>
        <v>'2041'</v>
      </c>
      <c r="D41" t="s">
        <v>81</v>
      </c>
      <c r="E41" t="s">
        <v>137</v>
      </c>
      <c r="F41" t="str">
        <f t="shared" si="1"/>
        <v>insert into sysLocalizationText Values(2041,      'pt-br','2041',     'MonthName-10',    'OUTUBRO',getdate(),getdate())</v>
      </c>
    </row>
    <row r="42" spans="1:6" x14ac:dyDescent="0.25">
      <c r="A42">
        <v>2042</v>
      </c>
      <c r="B42" t="s">
        <v>97</v>
      </c>
      <c r="C42" t="str">
        <f t="shared" si="0"/>
        <v>'2042'</v>
      </c>
      <c r="D42" t="s">
        <v>83</v>
      </c>
      <c r="E42" t="s">
        <v>138</v>
      </c>
      <c r="F42" t="str">
        <f t="shared" si="1"/>
        <v>insert into sysLocalizationText Values(2042,      'pt-br','2042',     'MonthName-11',    'NOVEMBRO',getdate(),getdate())</v>
      </c>
    </row>
    <row r="43" spans="1:6" x14ac:dyDescent="0.25">
      <c r="A43">
        <v>2043</v>
      </c>
      <c r="B43" t="s">
        <v>97</v>
      </c>
      <c r="C43" t="str">
        <f t="shared" si="0"/>
        <v>'2043'</v>
      </c>
      <c r="D43" t="s">
        <v>85</v>
      </c>
      <c r="E43" t="s">
        <v>139</v>
      </c>
      <c r="F43" t="str">
        <f t="shared" si="1"/>
        <v>insert into sysLocalizationText Values(2043,      'pt-br','2043',     'MonthName-12',    'DEZEMBRO',getdate(),getdate())</v>
      </c>
    </row>
    <row r="44" spans="1:6" x14ac:dyDescent="0.25">
      <c r="A44">
        <v>2044</v>
      </c>
      <c r="B44" t="s">
        <v>97</v>
      </c>
      <c r="C44" t="str">
        <f t="shared" si="0"/>
        <v>'2044'</v>
      </c>
      <c r="D44" t="s">
        <v>87</v>
      </c>
      <c r="E44" t="s">
        <v>140</v>
      </c>
      <c r="F44" t="str">
        <f t="shared" si="1"/>
        <v>insert into sysLocalizationText Values(2044,      'pt-br','2044',     'Validation-NotNull',    'não pode ser nulo.',getdate(),getdate())</v>
      </c>
    </row>
    <row r="45" spans="1:6" x14ac:dyDescent="0.25">
      <c r="A45">
        <v>2045</v>
      </c>
      <c r="B45" t="s">
        <v>97</v>
      </c>
      <c r="C45" t="str">
        <f t="shared" si="0"/>
        <v>'2045'</v>
      </c>
      <c r="D45" t="s">
        <v>89</v>
      </c>
      <c r="E45" t="s">
        <v>143</v>
      </c>
      <c r="F45" t="str">
        <f t="shared" si="1"/>
        <v>insert into sysLocalizationText Values(2045,      'pt-br','2045',     'Validation-Max-Characters',    'O campo {0} não pode ter mais de maxlength caracteres.',getdate(),getdate())</v>
      </c>
    </row>
    <row r="46" spans="1:6" x14ac:dyDescent="0.25">
      <c r="A46">
        <v>2046</v>
      </c>
      <c r="B46" t="s">
        <v>97</v>
      </c>
      <c r="C46" t="str">
        <f t="shared" si="0"/>
        <v>'2046'</v>
      </c>
      <c r="D46" t="s">
        <v>90</v>
      </c>
      <c r="E46" t="s">
        <v>144</v>
      </c>
      <c r="F46" t="str">
        <f t="shared" si="1"/>
        <v>insert into sysLocalizationText Values(2046,      'pt-br','2046',     'Validation-Invalid-Field',    'O campo {0} é inválido.',getdate(),getdate())</v>
      </c>
    </row>
    <row r="47" spans="1:6" x14ac:dyDescent="0.25">
      <c r="A47">
        <v>2047</v>
      </c>
      <c r="B47" t="s">
        <v>97</v>
      </c>
      <c r="C47" t="str">
        <f t="shared" si="0"/>
        <v>'2047'</v>
      </c>
      <c r="D47" t="s">
        <v>91</v>
      </c>
      <c r="E47" t="s">
        <v>145</v>
      </c>
      <c r="F47" t="str">
        <f t="shared" si="1"/>
        <v>insert into sysLocalizationText Values(2047,      'pt-br','2047',     'Validation-Invalid-UserName',    'O campo {0} é inválido. Não use caracteres especiais ou espaços.',getdate(),getdate())</v>
      </c>
    </row>
    <row r="48" spans="1:6" x14ac:dyDescent="0.25">
      <c r="A48">
        <v>2048</v>
      </c>
      <c r="B48" t="s">
        <v>97</v>
      </c>
      <c r="C48" t="str">
        <f t="shared" si="0"/>
        <v>'2048'</v>
      </c>
      <c r="D48" t="s">
        <v>92</v>
      </c>
      <c r="E48" t="s">
        <v>146</v>
      </c>
      <c r="F48" t="str">
        <f t="shared" si="1"/>
        <v>insert into sysLocalizationText Values(2048,      'pt-br','2048',     'Validation-Unique-Value',    'O campo {0} é inválido. O valor informado deve ser único.',getdate(),getdate())</v>
      </c>
    </row>
    <row r="49" spans="1:6" x14ac:dyDescent="0.25">
      <c r="A49">
        <v>2049</v>
      </c>
      <c r="B49" t="s">
        <v>97</v>
      </c>
      <c r="C49" t="str">
        <f t="shared" si="0"/>
        <v>'2049'</v>
      </c>
      <c r="D49" t="s">
        <v>93</v>
      </c>
      <c r="E49" t="s">
        <v>141</v>
      </c>
      <c r="F49" t="str">
        <f t="shared" si="1"/>
        <v>insert into sysLocalizationText Values(2049,      'pt-br','2049',     'User-Instance-Exists',    'Esta Instância já está associada ao Usuário.',getdate(),getdate())</v>
      </c>
    </row>
    <row r="50" spans="1:6" x14ac:dyDescent="0.25">
      <c r="A50">
        <v>2050</v>
      </c>
      <c r="B50" t="s">
        <v>97</v>
      </c>
      <c r="C50" t="str">
        <f t="shared" si="0"/>
        <v>'2050'</v>
      </c>
      <c r="D50" t="s">
        <v>95</v>
      </c>
      <c r="E50" t="s">
        <v>142</v>
      </c>
      <c r="F50" t="str">
        <f t="shared" si="1"/>
        <v>insert into sysLocalizationText Values(2050,      'pt-br','2050',     'User-Instance-No-Exists',    'Esta Instância não pertence ao Usuário.',getdate(),getdate())</v>
      </c>
    </row>
    <row r="51" spans="1:6" x14ac:dyDescent="0.25">
      <c r="A51">
        <v>2051</v>
      </c>
      <c r="B51" t="s">
        <v>97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      'pt-br','2051','User-PageTitle','Gerenciamento de Usuários',getdate(),getdate())</v>
      </c>
    </row>
    <row r="52" spans="1:6" x14ac:dyDescent="0.25">
      <c r="A52">
        <v>2052</v>
      </c>
      <c r="B52" t="s">
        <v>97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      'pt-br','2052','SearchButtonLabel','Pesquisar',getdate(),getdate())</v>
      </c>
    </row>
    <row r="53" spans="1:6" x14ac:dyDescent="0.25">
      <c r="A53">
        <v>2053</v>
      </c>
      <c r="B53" t="s">
        <v>97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      'pt-br','2053','SearchingLabel','Pesquisando...',getdate(),getdate())</v>
      </c>
    </row>
    <row r="54" spans="1:6" x14ac:dyDescent="0.25">
      <c r="A54">
        <v>2054</v>
      </c>
      <c r="B54" t="s">
        <v>97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      'pt-br','2054','InsertingLoadingLabel','Inserindo...',getdate(),getdate())</v>
      </c>
    </row>
    <row r="55" spans="1:6" x14ac:dyDescent="0.25">
      <c r="A55">
        <v>2055</v>
      </c>
      <c r="B55" t="s">
        <v>97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      'pt-br','2055','SearchResultLabel','Resultado da Busca',getdate(),getdate())</v>
      </c>
    </row>
    <row r="56" spans="1:6" x14ac:dyDescent="0.25">
      <c r="A56">
        <v>2056</v>
      </c>
      <c r="B56" t="s">
        <v>97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      'pt-br','2056','DetailsLabel','Detalhes',getdate(),getdate())</v>
      </c>
    </row>
    <row r="57" spans="1:6" x14ac:dyDescent="0.25">
      <c r="A57">
        <v>2057</v>
      </c>
      <c r="B57" t="s">
        <v>97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      'pt-br','2057','NoRecordsFound','Nenhum registro encontrado',getdate(),getdate())</v>
      </c>
    </row>
    <row r="58" spans="1:6" x14ac:dyDescent="0.25">
      <c r="A58">
        <v>2058</v>
      </c>
      <c r="B58" t="s">
        <v>97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      'pt-br','2058','LoadingPage','Carregando. Aguarde...',getdate(),getdate())</v>
      </c>
    </row>
    <row r="59" spans="1:6" x14ac:dyDescent="0.25">
      <c r="A59">
        <v>2059</v>
      </c>
      <c r="B59" t="s">
        <v>97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      'pt-br','2059','LoadingData','Carregando a página. Aguarde...',getdate(),getdate())</v>
      </c>
    </row>
    <row r="60" spans="1:6" x14ac:dyDescent="0.25">
      <c r="A60">
        <v>2060</v>
      </c>
      <c r="B60" t="s">
        <v>97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      'pt-br','2060','ErrorOnExecuteSearch','Erro ao efetuar a busca',getdate(),getdate())</v>
      </c>
    </row>
    <row r="61" spans="1:6" x14ac:dyDescent="0.25">
      <c r="A61">
        <v>2061</v>
      </c>
      <c r="B61" t="s">
        <v>97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      'pt-br','2061','ErrorOnReturnData','Erro ao retornar dados',getdate(),getdate())</v>
      </c>
    </row>
    <row r="62" spans="1:6" x14ac:dyDescent="0.25">
      <c r="A62">
        <v>2062</v>
      </c>
      <c r="B62" t="s">
        <v>97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      'pt-br','2062','ErrorOnCreateNewRecord','Erro ao criar registro',getdate(),getdate())</v>
      </c>
    </row>
    <row r="63" spans="1:6" x14ac:dyDescent="0.25">
      <c r="A63">
        <v>2063</v>
      </c>
      <c r="B63" t="s">
        <v>97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      'pt-br','2063','AfterSaveAnswering','O novo registro foi criado com sucesso. Deseja continuar inserindo ?',getdate(),getdate())</v>
      </c>
    </row>
    <row r="64" spans="1:6" x14ac:dyDescent="0.25">
      <c r="A64">
        <v>2064</v>
      </c>
      <c r="B64" t="s">
        <v>97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      'pt-br','2064','NoticeLabel','Aviso',getdate(),getdate())</v>
      </c>
    </row>
    <row r="65" spans="1:6" x14ac:dyDescent="0.25">
      <c r="A65">
        <v>2065</v>
      </c>
      <c r="B65" t="s">
        <v>97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      'pt-br','2065','SuccessLabel','Sucesso',getdate(),getdate())</v>
      </c>
    </row>
    <row r="66" spans="1:6" x14ac:dyDescent="0.25">
      <c r="A66">
        <v>2066</v>
      </c>
      <c r="B66" t="s">
        <v>97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Values(2066,      'pt-br','2066','SuccessSaveMessage','O registro foi salvo com sucesso.',getdate(),getdate())</v>
      </c>
    </row>
    <row r="67" spans="1:6" x14ac:dyDescent="0.25">
      <c r="A67">
        <v>2067</v>
      </c>
      <c r="B67" t="s">
        <v>97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      'pt-br','2067','Email-Label','E-mail',getdate(),getdate())</v>
      </c>
    </row>
    <row r="68" spans="1:6" x14ac:dyDescent="0.25">
      <c r="A68">
        <v>2068</v>
      </c>
      <c r="B68" t="s">
        <v>97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      'pt-br','2068','UserName-Label','Nome de Usuário',getdate(),getdate())</v>
      </c>
    </row>
    <row r="69" spans="1:6" x14ac:dyDescent="0.25">
      <c r="A69">
        <v>2069</v>
      </c>
      <c r="B69" t="s">
        <v>97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      'pt-br','2069','Password-Label','Senha',getdate(),getdate())</v>
      </c>
    </row>
    <row r="70" spans="1:6" x14ac:dyDescent="0.25">
      <c r="A70">
        <v>2070</v>
      </c>
      <c r="B70" t="s">
        <v>97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      'pt-br','2070','Instance-Label','Instância',getdate(),getdate())</v>
      </c>
    </row>
    <row r="71" spans="1:6" x14ac:dyDescent="0.25">
      <c r="A71">
        <v>2071</v>
      </c>
      <c r="B71" t="s">
        <v>97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      'pt-br','2071','Role-Label','Perfim',getdate(),getdate())</v>
      </c>
    </row>
    <row r="72" spans="1:6" x14ac:dyDescent="0.25">
      <c r="A72">
        <v>2072</v>
      </c>
      <c r="B72" t="s">
        <v>97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      'pt-br','2072','Yes-Text','Sim',getdate(),getdate())</v>
      </c>
    </row>
    <row r="73" spans="1:6" x14ac:dyDescent="0.25">
      <c r="A73">
        <v>2073</v>
      </c>
      <c r="B73" t="s">
        <v>97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      'pt-br','2073','No-Text','Não',getdate(),getdate())</v>
      </c>
    </row>
    <row r="74" spans="1:6" x14ac:dyDescent="0.25">
      <c r="A74">
        <v>2074</v>
      </c>
      <c r="B74" t="s">
        <v>97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      'pt-br','2074','Saving-Label','Salvando...',getdate(),getdate())</v>
      </c>
    </row>
    <row r="75" spans="1:6" x14ac:dyDescent="0.25">
      <c r="A75">
        <v>2075</v>
      </c>
      <c r="B75" t="s">
        <v>97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      'pt-br','2075','Edit-Label','Editar',getdate(),getdate())</v>
      </c>
    </row>
    <row r="76" spans="1:6" x14ac:dyDescent="0.25">
      <c r="A76">
        <v>2076</v>
      </c>
      <c r="B76" t="s">
        <v>97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      'pt-br','2076','Date-Label','Data',getdate(),getdate())</v>
      </c>
    </row>
    <row r="77" spans="1:6" x14ac:dyDescent="0.25">
      <c r="A77">
        <v>2077</v>
      </c>
      <c r="B77" t="s">
        <v>97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      'pt-br','2077','Field-Label','Campo',getdate(),getdate())</v>
      </c>
    </row>
    <row r="78" spans="1:6" x14ac:dyDescent="0.25">
      <c r="A78">
        <v>2078</v>
      </c>
      <c r="B78" t="s">
        <v>97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      'pt-br','2078','Value-Label','Valor',getdate(),getdate())</v>
      </c>
    </row>
    <row r="79" spans="1:6" x14ac:dyDescent="0.25">
      <c r="A79">
        <v>2079</v>
      </c>
      <c r="B79" t="s">
        <v>97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      'pt-br','2079','SelectItem-Description','Selecione um Item',getdate(),getdate())</v>
      </c>
    </row>
    <row r="80" spans="1:6" x14ac:dyDescent="0.25">
      <c r="A80">
        <v>2080</v>
      </c>
      <c r="B80" t="s">
        <v>97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      'pt-br','2080','AllItem-Description','Todos',getdate(),getdate())</v>
      </c>
    </row>
    <row r="81" spans="1:6" x14ac:dyDescent="0.25">
      <c r="A81">
        <v>2081</v>
      </c>
      <c r="B81" t="s">
        <v>97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      'pt-br','2081','Welcome-Label','Bem-vindo ao GW Template',getdate(),getdate())</v>
      </c>
    </row>
    <row r="82" spans="1:6" x14ac:dyDescent="0.25">
      <c r="A82">
        <v>2082</v>
      </c>
      <c r="B82" t="s">
        <v>97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      'pt-br','2082','LoginTitle-Label','Entrar',getdate(),getdate())</v>
      </c>
    </row>
    <row r="83" spans="1:6" x14ac:dyDescent="0.25">
      <c r="A83">
        <v>2083</v>
      </c>
      <c r="B83" t="s">
        <v>97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seu login e senha" &amp; $N$1</f>
        <v>'Insira seu login e senha'</v>
      </c>
      <c r="F83" t="str">
        <f t="shared" si="3"/>
        <v>insert into sysLocalizationText Values(2083,      'pt-br','2083','LoginTitle-Description','Insira seu login e senha',getdate(),getdate())</v>
      </c>
    </row>
    <row r="84" spans="1:6" x14ac:dyDescent="0.25">
      <c r="A84">
        <v>2084</v>
      </c>
      <c r="B84" t="s">
        <v>97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      'pt-br','2084','InputEmail-Description','Digite seu e-mail de cadastro',getdate(),getdate())</v>
      </c>
    </row>
    <row r="85" spans="1:6" x14ac:dyDescent="0.25">
      <c r="A85">
        <v>2085</v>
      </c>
      <c r="B85" t="s">
        <v>97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      'pt-br','2085','InputPassword-Description','Digite sua senha',getdate(),getdate())</v>
      </c>
    </row>
    <row r="86" spans="1:6" x14ac:dyDescent="0.25">
      <c r="A86">
        <v>2086</v>
      </c>
      <c r="B86" t="s">
        <v>97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      'pt-br','2086','ForgetPassword-Description','Esqueceu a senha ?',getdate(),getdate())</v>
      </c>
    </row>
    <row r="87" spans="1:6" x14ac:dyDescent="0.25">
      <c r="A87">
        <v>2087</v>
      </c>
      <c r="B87" t="s">
        <v>97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      'pt-br','2087','LoginButton-Label','Confirmar',getdate(),getdate())</v>
      </c>
    </row>
    <row r="88" spans="1:6" x14ac:dyDescent="0.25">
      <c r="A88">
        <v>2088</v>
      </c>
      <c r="B88" t="s">
        <v>97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      'pt-br','2088','LoginLoading-Label','Entrando...',getdate(),getdate())</v>
      </c>
    </row>
    <row r="89" spans="1:6" x14ac:dyDescent="0.25">
      <c r="A89">
        <v>2089</v>
      </c>
      <c r="B89" t="s">
        <v>97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      'pt-br','2089','SendText-Description','Enviando...',getdate(),getdate())</v>
      </c>
    </row>
    <row r="90" spans="1:6" x14ac:dyDescent="0.25">
      <c r="A90">
        <v>2090</v>
      </c>
      <c r="B90" t="s">
        <v>97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      'pt-br','2090','ActiveAccountButton-Label','Ativar Conta',getdate(),getdate())</v>
      </c>
    </row>
    <row r="91" spans="1:6" x14ac:dyDescent="0.25">
      <c r="A91">
        <v>2091</v>
      </c>
      <c r="B91" t="s">
        <v>97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      'pt-br','2091','ActiveAccount-Label','Ativação de Conta',getdate(),getdate())</v>
      </c>
    </row>
    <row r="92" spans="1:6" x14ac:dyDescent="0.25">
      <c r="A92">
        <v>2092</v>
      </c>
      <c r="B92" t="s">
        <v>97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      'pt-br','2092','ActiveAccount-Description','Não consegue acessar ?',getdate(),getdate())</v>
      </c>
    </row>
    <row r="93" spans="1:6" x14ac:dyDescent="0.25">
      <c r="A93">
        <v>2093</v>
      </c>
      <c r="B93" t="s">
        <v>97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      'pt-br','2093','ActiveAccount-Step1','Envie o código de ativação para o seu e-mail de cadastro',getdate(),getdate())</v>
      </c>
    </row>
    <row r="94" spans="1:6" x14ac:dyDescent="0.25">
      <c r="A94">
        <v>2094</v>
      </c>
      <c r="B94" t="s">
        <v>97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      'pt-br','2094','ActiveAccount-Step2','Informe o código de ativação recebido',getdate(),getdate())</v>
      </c>
    </row>
    <row r="95" spans="1:6" x14ac:dyDescent="0.25">
      <c r="A95">
        <v>2095</v>
      </c>
      <c r="B95" t="s">
        <v>97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      'pt-br','2095','SendCodeButton-Label','Enviar Código',getdate(),getdate())</v>
      </c>
    </row>
    <row r="96" spans="1:6" x14ac:dyDescent="0.25">
      <c r="A96">
        <v>2096</v>
      </c>
      <c r="B96" t="s">
        <v>97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      'pt-br','2096','ActiveLoading-Label','Solicitar Ativação',getdate(),getdate())</v>
      </c>
    </row>
    <row r="97" spans="1:6" x14ac:dyDescent="0.25">
      <c r="A97">
        <v>2097</v>
      </c>
      <c r="B97" t="s">
        <v>97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      'pt-br','2097','InputCode-Description','Digite o código recebido por e-mail',getdate(),getdate())</v>
      </c>
    </row>
    <row r="98" spans="1:6" x14ac:dyDescent="0.25">
      <c r="A98">
        <v>2098</v>
      </c>
      <c r="B98" t="s">
        <v>97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      'pt-br','2098','Unlogged-Label','Você não está logado',getdate(),getdate())</v>
      </c>
    </row>
    <row r="99" spans="1:6" x14ac:dyDescent="0.25">
      <c r="A99">
        <v>2099</v>
      </c>
      <c r="B99" t="s">
        <v>97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      'pt-br','2099','MyProfile-Label','Meu Perfil',getdate(),getdate())</v>
      </c>
    </row>
    <row r="100" spans="1:6" x14ac:dyDescent="0.25">
      <c r="A100">
        <v>2100</v>
      </c>
      <c r="B100" t="s">
        <v>97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      'pt-br','2100','MainProfileData-Label','Dados do Perfil',getdate(),getdate())</v>
      </c>
    </row>
    <row r="101" spans="1:6" x14ac:dyDescent="0.25">
      <c r="A101">
        <v>2101</v>
      </c>
      <c r="B101" t="s">
        <v>97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      'pt-br','2101','AlterPassword-Label','Trocar Senha',getdate(),getdate())</v>
      </c>
    </row>
    <row r="102" spans="1:6" x14ac:dyDescent="0.25">
      <c r="A102">
        <v>2102</v>
      </c>
      <c r="B102" t="s">
        <v>97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      'pt-br','2102','LanguageRole-Label','Linguagem',getdate(),getdate())</v>
      </c>
    </row>
    <row r="103" spans="1:6" x14ac:dyDescent="0.25">
      <c r="A103">
        <v>2103</v>
      </c>
      <c r="B103" t="s">
        <v>97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      'pt-br','2103','AlterProfileImage-Label','Alterar a imagem de perfil',getdate(),getdate())</v>
      </c>
    </row>
    <row r="104" spans="1:6" x14ac:dyDescent="0.25">
      <c r="A104">
        <v>2104</v>
      </c>
      <c r="B104" t="s">
        <v>97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      'pt-br','2104','AlterPasswordStep1-Label','Clique no link abaixo para receber um email com o código de segurança para troca de senha',getdate(),getdate())</v>
      </c>
    </row>
    <row r="105" spans="1:6" x14ac:dyDescent="0.25">
      <c r="A105">
        <v>2105</v>
      </c>
      <c r="B105" t="s">
        <v>97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      'pt-br','2105','AlterPasswordStep2-Label','Após receber código, preencha as informações abaixo e clique em Altera Senha',getdate(),getdate())</v>
      </c>
    </row>
    <row r="106" spans="1:6" x14ac:dyDescent="0.25">
      <c r="A106">
        <v>2106</v>
      </c>
      <c r="B106" t="s">
        <v>97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      'pt-br','2106','InputNewPassword-Label','Digite a nova senha',getdate(),getdate())</v>
      </c>
    </row>
    <row r="107" spans="1:6" x14ac:dyDescent="0.25">
      <c r="A107">
        <v>2107</v>
      </c>
      <c r="B107" t="s">
        <v>97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      'pt-br','2107','AlterPasswordButton-Label','Alterar a Senha',getdate(),getdate())</v>
      </c>
    </row>
    <row r="108" spans="1:6" x14ac:dyDescent="0.25">
      <c r="A108">
        <v>2108</v>
      </c>
      <c r="B108" t="s">
        <v>97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      'pt-br','2108','AlterPasswordButton-Loading','Alterando a senha....',getdate(),getdate())</v>
      </c>
    </row>
    <row r="109" spans="1:6" x14ac:dyDescent="0.25">
      <c r="A109">
        <v>2109</v>
      </c>
      <c r="B109" t="s">
        <v>97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      'pt-br','2109','InvalidCredentials-Title','Credenciais Inválidas',getdate(),getdate())</v>
      </c>
    </row>
    <row r="110" spans="1:6" x14ac:dyDescent="0.25">
      <c r="A110">
        <v>2110</v>
      </c>
      <c r="B110" t="s">
        <v>97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      'pt-br','2110','InvalidCredentials-Message','E-mail ou senha inválidos!',getdate(),getdate())</v>
      </c>
    </row>
    <row r="111" spans="1:6" x14ac:dyDescent="0.25">
      <c r="A111">
        <v>2111</v>
      </c>
      <c r="B111" t="s">
        <v>97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      'pt-br','2111','TemporaryPassword-Title','Senha Enviada',getdate(),getdate())</v>
      </c>
    </row>
    <row r="112" spans="1:6" x14ac:dyDescent="0.25">
      <c r="A112">
        <v>2112</v>
      </c>
      <c r="B112" t="s">
        <v>97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      'pt-br','2112','TemporaryPassword-Message','Uma senha temporária foi enviada para o seu e-mail de cadastro. Ao logar, solicite a troca de senha.',getdate(),getdate())</v>
      </c>
    </row>
    <row r="113" spans="1:6" x14ac:dyDescent="0.25">
      <c r="A113">
        <v>2113</v>
      </c>
      <c r="B113" t="s">
        <v>97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      'pt-br','2113','SuccessActivated-Title','Conta Ativada com Sucesso',getdate(),getdate())</v>
      </c>
    </row>
    <row r="114" spans="1:6" x14ac:dyDescent="0.25">
      <c r="A114">
        <v>2114</v>
      </c>
      <c r="B114" t="s">
        <v>97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      'pt-br','2114','SuccessActivated-Message','A conta foi ativada com sucesso. Você já pode efetuar login.',getdate(),getdate())</v>
      </c>
    </row>
    <row r="115" spans="1:6" x14ac:dyDescent="0.25">
      <c r="A115">
        <v>2115</v>
      </c>
      <c r="B115" t="s">
        <v>97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      'pt-br','2115','ActivateCode-Title','Código Enviado',getdate(),getdate())</v>
      </c>
    </row>
    <row r="116" spans="1:6" x14ac:dyDescent="0.25">
      <c r="A116">
        <v>2116</v>
      </c>
      <c r="B116" t="s">
        <v>97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      'pt-br','2116','ActivateCode-Message','O código de segurança foi enviado por e-mail.',getdate(),getdate())</v>
      </c>
    </row>
    <row r="117" spans="1:6" x14ac:dyDescent="0.25">
      <c r="A117">
        <v>2117</v>
      </c>
      <c r="B117" t="s">
        <v>97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      'pt-br','2117','PasswordChanged-Title','Senha Alterada',getdate(),getdate())</v>
      </c>
    </row>
    <row r="118" spans="1:6" x14ac:dyDescent="0.25">
      <c r="A118">
        <v>2118</v>
      </c>
      <c r="B118" t="s">
        <v>97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      'pt-br','2118','PasswordChanged-Message','A senha foi alterada com sucesso. Efetue login novamente.',getdate(),getdate())</v>
      </c>
    </row>
    <row r="119" spans="1:6" x14ac:dyDescent="0.25">
      <c r="A119">
        <v>2119</v>
      </c>
      <c r="B119" t="s">
        <v>97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      'pt-br','2119','ImageChanged-Title','Imagem Alterada',getdate(),getdate())</v>
      </c>
    </row>
    <row r="120" spans="1:6" x14ac:dyDescent="0.25">
      <c r="A120">
        <v>2120</v>
      </c>
      <c r="B120" t="s">
        <v>97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      'pt-br','2120','ImageChanged-Message','A imagem de perfil foi alterada. No próximo login a nova imagem será exibida.',getdate(),getdate())</v>
      </c>
    </row>
    <row r="121" spans="1:6" x14ac:dyDescent="0.25">
      <c r="A121">
        <v>2121</v>
      </c>
      <c r="B121" t="s">
        <v>97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      'pt-br','2121','SearchByEmail-Label','Por E-mail',getdate(),getdate())</v>
      </c>
    </row>
    <row r="122" spans="1:6" x14ac:dyDescent="0.25">
      <c r="A122">
        <v>2122</v>
      </c>
      <c r="B122" t="s">
        <v>97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      'pt-br','2122','SearchByUserName-Label','Por Nome de Usuário',getdate(),getdate())</v>
      </c>
    </row>
    <row r="123" spans="1:6" x14ac:dyDescent="0.25">
      <c r="A123">
        <v>2123</v>
      </c>
      <c r="B123" t="s">
        <v>97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      'pt-br','2123','SearchByEmail-Description','Pesquisar por E-mail',getdate(),getdate())</v>
      </c>
    </row>
    <row r="124" spans="1:6" x14ac:dyDescent="0.25">
      <c r="A124">
        <v>2124</v>
      </c>
      <c r="B124" t="s">
        <v>97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      'pt-br','2124','SearchByUserName-Description','Pesquisar por Nome de Usuário',getdate(),getdate())</v>
      </c>
    </row>
    <row r="125" spans="1:6" x14ac:dyDescent="0.25">
      <c r="A125">
        <v>2125</v>
      </c>
      <c r="B125" t="s">
        <v>97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      'pt-br','2125','SearchByInstance-Label','Por Instância',getdate(),getdate())</v>
      </c>
    </row>
    <row r="126" spans="1:6" x14ac:dyDescent="0.25">
      <c r="A126">
        <v>2126</v>
      </c>
      <c r="B126" t="s">
        <v>97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      'pt-br','2126','SearchByRole-Label','Por Perfil',getdate(),getdate())</v>
      </c>
    </row>
    <row r="127" spans="1:6" x14ac:dyDescent="0.25">
      <c r="A127">
        <v>2127</v>
      </c>
      <c r="B127" t="s">
        <v>97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      'pt-br','2127','NewUser-Label','Novo Usuáro',getdate(),getdate())</v>
      </c>
    </row>
    <row r="128" spans="1:6" x14ac:dyDescent="0.25">
      <c r="A128">
        <v>2128</v>
      </c>
      <c r="B128" t="s">
        <v>97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      'pt-br','2128','NewUser-Description','Clique aqui para criar novo usuário',getdate(),getdate())</v>
      </c>
    </row>
    <row r="129" spans="1:6" x14ac:dyDescent="0.25">
      <c r="A129">
        <v>2129</v>
      </c>
      <c r="B129" t="s">
        <v>97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      'pt-br','2129','Active-Label','Ativo',getdate(),getdate())</v>
      </c>
    </row>
    <row r="130" spans="1:6" x14ac:dyDescent="0.25">
      <c r="A130">
        <v>2130</v>
      </c>
      <c r="B130" t="s">
        <v>97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Values(2130,      'pt-br','2130','Locked-Label','Bloqueado',getdate(),getdate())</v>
      </c>
    </row>
    <row r="131" spans="1:6" x14ac:dyDescent="0.25">
      <c r="A131">
        <v>2131</v>
      </c>
      <c r="B131" t="s">
        <v>97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      'pt-br','2131','MainData-Label','Dados Principais',getdate(),getdate())</v>
      </c>
    </row>
    <row r="132" spans="1:6" x14ac:dyDescent="0.25">
      <c r="A132">
        <v>2132</v>
      </c>
      <c r="B132" t="s">
        <v>97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      'pt-br','2132','User-SecondTabLabel','Instância e Perfil',getdate(),getdate())</v>
      </c>
    </row>
    <row r="133" spans="1:6" x14ac:dyDescent="0.25">
      <c r="A133">
        <v>2133</v>
      </c>
      <c r="B133" t="s">
        <v>97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      'pt-br','2133','CreateDate-Label','Data de Cadastro',getdate(),getdate())</v>
      </c>
    </row>
    <row r="134" spans="1:6" x14ac:dyDescent="0.25">
      <c r="A134">
        <v>2134</v>
      </c>
      <c r="B134" t="s">
        <v>97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      'pt-br','2134','LastLoginDate-Label','Data do Último Acesso',getdate(),getdate())</v>
      </c>
    </row>
    <row r="135" spans="1:6" x14ac:dyDescent="0.25">
      <c r="A135">
        <v>2135</v>
      </c>
      <c r="B135" t="s">
        <v>97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      'pt-br','2135','DefaultLanguage-Label','Idioma Padrão',getdate(),getdate())</v>
      </c>
    </row>
    <row r="136" spans="1:6" x14ac:dyDescent="0.25">
      <c r="A136">
        <v>2136</v>
      </c>
      <c r="B136" t="s">
        <v>97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      'pt-br','2136','LastLoginIP-Label','IP do Último Acesso',getdate(),getdate())</v>
      </c>
    </row>
    <row r="137" spans="1:6" x14ac:dyDescent="0.25">
      <c r="A137">
        <v>2137</v>
      </c>
      <c r="B137" t="s">
        <v>97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      'pt-br','2137','LoginCounter-Label','Total de Acessos',getdate(),getdate())</v>
      </c>
    </row>
    <row r="138" spans="1:6" x14ac:dyDescent="0.25">
      <c r="A138">
        <v>2138</v>
      </c>
      <c r="B138" t="s">
        <v>97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      'pt-br','2138','PasswordRecovery-Label','Código de Recuperação de Senha',getdate(),getdate())</v>
      </c>
    </row>
    <row r="139" spans="1:6" x14ac:dyDescent="0.25">
      <c r="A139">
        <v>2139</v>
      </c>
      <c r="B139" t="s">
        <v>97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      'pt-br','2139','AlterInstance-Label','Alterar a Instância',getdate(),getdate())</v>
      </c>
    </row>
    <row r="140" spans="1:6" x14ac:dyDescent="0.25">
      <c r="A140">
        <v>2140</v>
      </c>
      <c r="B140" t="s">
        <v>97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      'pt-br','2140','AlterInstance-Description','Selecione uma Instância para alterar',getdate(),getdate())</v>
      </c>
    </row>
    <row r="141" spans="1:6" x14ac:dyDescent="0.25">
      <c r="A141">
        <v>2141</v>
      </c>
      <c r="B141" t="s">
        <v>97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      'pt-br','2141','Altering-Label','Alterando...',getdate(),getdate())</v>
      </c>
    </row>
    <row r="142" spans="1:6" x14ac:dyDescent="0.25">
      <c r="A142">
        <v>2142</v>
      </c>
      <c r="B142" t="s">
        <v>97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      'pt-br','2142','AlterRole-Label','Alterar Perfil',getdate(),getdate())</v>
      </c>
    </row>
    <row r="143" spans="1:6" x14ac:dyDescent="0.25">
      <c r="A143">
        <v>2143</v>
      </c>
      <c r="B143" t="s">
        <v>97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      'pt-br','2143','AlterRole-Description','Selecione um Perfil para alterar',getdate(),getdate())</v>
      </c>
    </row>
    <row r="144" spans="1:6" x14ac:dyDescent="0.25">
      <c r="A144">
        <v>2144</v>
      </c>
      <c r="B144" t="s">
        <v>97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      'pt-br','2144','UserStatus-Label','Status do Usuário',getdate(),getdate())</v>
      </c>
    </row>
    <row r="145" spans="1:6" x14ac:dyDescent="0.25">
      <c r="A145">
        <v>2145</v>
      </c>
      <c r="B145" t="s">
        <v>97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      'pt-br','2145','ChangeUserState-Description','Clique aqui para alterar o status',getdate(),getdate())</v>
      </c>
    </row>
    <row r="146" spans="1:6" x14ac:dyDescent="0.25">
      <c r="A146">
        <v>2146</v>
      </c>
      <c r="B146" t="s">
        <v>97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      'pt-br','2146','ChangeUserState-Label','Atualizar Status',getdate(),getdate())</v>
      </c>
    </row>
    <row r="147" spans="1:6" x14ac:dyDescent="0.25">
      <c r="A147">
        <v>2147</v>
      </c>
      <c r="B147" t="s">
        <v>97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      'pt-br','2147','CreateUser-Label','Novo Usuário',getdate(),getdate())</v>
      </c>
    </row>
    <row r="148" spans="1:6" x14ac:dyDescent="0.25">
      <c r="A148">
        <v>2148</v>
      </c>
      <c r="B148" t="s">
        <v>97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      'pt-br','2148','CreateUser-Description','Clique aqui para cciar o novo usuário',getdate(),getdate())</v>
      </c>
    </row>
    <row r="149" spans="1:6" x14ac:dyDescent="0.25">
      <c r="A149">
        <v>2149</v>
      </c>
      <c r="B149" t="s">
        <v>97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      'pt-br','2149','CreateUserButton-Label','Salvar',getdate(),getdate())</v>
      </c>
    </row>
    <row r="150" spans="1:6" x14ac:dyDescent="0.25">
      <c r="A150">
        <v>2150</v>
      </c>
      <c r="B150" t="s">
        <v>97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      'pt-br','2150','AlterStatus-Error','Error ao alterar o status do usuário',getdate(),getdate())</v>
      </c>
    </row>
    <row r="151" spans="1:6" x14ac:dyDescent="0.25">
      <c r="A151">
        <v>2151</v>
      </c>
      <c r="B151" t="s">
        <v>97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      'pt-br','2151','AlterStatus-Success','O status do usuário foi alterado com sucesso',getdate(),getdate())</v>
      </c>
    </row>
    <row r="152" spans="1:6" x14ac:dyDescent="0.25">
      <c r="A152">
        <v>2152</v>
      </c>
      <c r="B152" t="s">
        <v>97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      'pt-br','2152','AlterInstance-Error','Erro ao alterar instância',getdate(),getdate())</v>
      </c>
    </row>
    <row r="153" spans="1:6" x14ac:dyDescent="0.25">
      <c r="A153">
        <v>2153</v>
      </c>
      <c r="B153" t="s">
        <v>97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      'pt-br','2153','AlterInstance-Success','A instância foi alterada com sucesso',getdate(),getdate())</v>
      </c>
    </row>
    <row r="154" spans="1:6" x14ac:dyDescent="0.25">
      <c r="A154">
        <v>2154</v>
      </c>
      <c r="B154" t="s">
        <v>97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      'pt-br','2154','AlterRole-Error','Erro ao alterar o perfil.',getdate(),getdate())</v>
      </c>
    </row>
    <row r="155" spans="1:6" x14ac:dyDescent="0.25">
      <c r="A155">
        <v>2155</v>
      </c>
      <c r="B155" t="s">
        <v>97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      'pt-br','2155','AlterRole-Success','O status foi alterado com sucesso',getdate(),getdate())</v>
      </c>
    </row>
    <row r="156" spans="1:6" x14ac:dyDescent="0.25">
      <c r="A156">
        <v>2156</v>
      </c>
      <c r="B156" t="s">
        <v>97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      'pt-br','2156','Instance-PageTitle','Instância',getdate(),getdate())</v>
      </c>
    </row>
    <row r="157" spans="1:6" x14ac:dyDescent="0.25">
      <c r="A157">
        <v>2157</v>
      </c>
      <c r="B157" t="s">
        <v>97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      'pt-br','2157','SearchByInstanceName-Label','Por Nome da Instância',getdate(),getdate())</v>
      </c>
    </row>
    <row r="158" spans="1:6" x14ac:dyDescent="0.25">
      <c r="A158">
        <v>2158</v>
      </c>
      <c r="B158" t="s">
        <v>97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      'pt-br','2158','SearchByInstanceName-Description','Pesquisar por Nome da Instância',getdate(),getdate())</v>
      </c>
    </row>
    <row r="159" spans="1:6" x14ac:dyDescent="0.25">
      <c r="A159">
        <v>2159</v>
      </c>
      <c r="B159" t="s">
        <v>97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      'pt-br','2159','SearchByInstanceTypeName-Label','Por Tipo da Instância',getdate(),getdate())</v>
      </c>
    </row>
    <row r="160" spans="1:6" x14ac:dyDescent="0.25">
      <c r="A160">
        <v>2160</v>
      </c>
      <c r="B160" t="s">
        <v>97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      'pt-br','2160','SearchByInstanceTypeName-Description','Pesquisar por Tipo da Instância',getdate(),getdate())</v>
      </c>
    </row>
    <row r="161" spans="1:6" x14ac:dyDescent="0.25">
      <c r="A161">
        <v>2161</v>
      </c>
      <c r="B161" t="s">
        <v>97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      'pt-br','2161','NewInstance-Label','Nova Instância',getdate(),getdate())</v>
      </c>
    </row>
    <row r="162" spans="1:6" x14ac:dyDescent="0.25">
      <c r="A162">
        <v>2162</v>
      </c>
      <c r="B162" t="s">
        <v>97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      'pt-br','2162','NewInstance-Description','Clique aqui para criar uma nova Instância',getdate(),getdate())</v>
      </c>
    </row>
    <row r="163" spans="1:6" x14ac:dyDescent="0.25">
      <c r="A163">
        <v>2163</v>
      </c>
      <c r="B163" t="s">
        <v>97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      'pt-br','2163','InstanceTypeName-Label','Tipo de Instância',getdate(),getdate())</v>
      </c>
    </row>
    <row r="164" spans="1:6" x14ac:dyDescent="0.25">
      <c r="A164">
        <v>2164</v>
      </c>
      <c r="B164" t="s">
        <v>97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      'pt-br','2164','InstanceName-Label','Nome da Instância',getdate(),getdate())</v>
      </c>
    </row>
    <row r="165" spans="1:6" x14ac:dyDescent="0.25">
      <c r="A165">
        <v>2165</v>
      </c>
      <c r="B165" t="s">
        <v>97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      'pt-br','2165','InstanceRecord-Label','Dados da Instância',getdate(),getdate())</v>
      </c>
    </row>
    <row r="166" spans="1:6" x14ac:dyDescent="0.25">
      <c r="A166">
        <v>2166</v>
      </c>
      <c r="B166" t="s">
        <v>97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      'pt-br','2166','SaveInstanceButton-Label','Salvar Instância',getdate(),getdate())</v>
      </c>
    </row>
    <row r="167" spans="1:6" x14ac:dyDescent="0.25">
      <c r="A167">
        <v>2167</v>
      </c>
      <c r="B167" t="s">
        <v>97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      'pt-br','2167','SaveInstanceButton-Description','Clque aqui para salvar a Instância',getdate(),getdate())</v>
      </c>
    </row>
    <row r="168" spans="1:6" x14ac:dyDescent="0.25">
      <c r="A168">
        <v>2168</v>
      </c>
      <c r="B168" t="s">
        <v>97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      'pt-br','2168','DataLog-PageTitle','Log de Dados',getdate(),getdate())</v>
      </c>
    </row>
    <row r="169" spans="1:6" x14ac:dyDescent="0.25">
      <c r="A169">
        <v>2169</v>
      </c>
      <c r="B169" t="s">
        <v>97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      'pt-br','2169','SearchByOperationType-Label','Por Tipo de Operação',getdate(),getdate())</v>
      </c>
    </row>
    <row r="170" spans="1:6" x14ac:dyDescent="0.25">
      <c r="A170">
        <v>2170</v>
      </c>
      <c r="B170" t="s">
        <v>97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      'pt-br','2170','SearchByObject-Label','Por Objeto',getdate(),getdate())</v>
      </c>
    </row>
    <row r="171" spans="1:6" x14ac:dyDescent="0.25">
      <c r="A171">
        <v>2171</v>
      </c>
      <c r="B171" t="s">
        <v>97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      'pt-br','2171','SearchByIntervalDate-Label','Por Intervalo de Datas',getdate(),getdate())</v>
      </c>
    </row>
    <row r="172" spans="1:6" x14ac:dyDescent="0.25">
      <c r="A172">
        <v>2172</v>
      </c>
      <c r="B172" t="s">
        <v>97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      'pt-br','2172','SearchByInicialDate-Label','Data Inicial',getdate(),getdate())</v>
      </c>
    </row>
    <row r="173" spans="1:6" x14ac:dyDescent="0.25">
      <c r="A173">
        <v>2173</v>
      </c>
      <c r="B173" t="s">
        <v>97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      'pt-br','2173','SearchByFinalDate-Label','Data Final',getdate(),getdate())</v>
      </c>
    </row>
    <row r="174" spans="1:6" x14ac:dyDescent="0.25">
      <c r="A174">
        <v>2174</v>
      </c>
      <c r="B174" t="s">
        <v>97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      'pt-br','2174','SearchByRecordID-Label','Por ID do Registro',getdate(),getdate())</v>
      </c>
    </row>
    <row r="175" spans="1:6" x14ac:dyDescent="0.25">
      <c r="A175">
        <v>2175</v>
      </c>
      <c r="B175" t="s">
        <v>97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      'pt-br','2175','TableName-Label','Tabela',getdate(),getdate())</v>
      </c>
    </row>
    <row r="176" spans="1:6" x14ac:dyDescent="0.25">
      <c r="A176">
        <v>2176</v>
      </c>
      <c r="B176" t="s">
        <v>97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      'pt-br','2176','OperationText-Label','Operação',getdate(),getdate())</v>
      </c>
    </row>
    <row r="177" spans="1:6" x14ac:dyDescent="0.25">
      <c r="A177">
        <v>2177</v>
      </c>
      <c r="B177" t="s">
        <v>97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      'pt-br','2177','LogID-Label','Log ID',getdate(),getdate())</v>
      </c>
    </row>
    <row r="178" spans="1:6" x14ac:dyDescent="0.25">
      <c r="A178">
        <v>2178</v>
      </c>
      <c r="B178" t="s">
        <v>97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      'pt-br','2178','LogInformation-Label','Informação do Log',getdate(),getdate())</v>
      </c>
    </row>
    <row r="179" spans="1:6" x14ac:dyDescent="0.25">
      <c r="A179">
        <v>2179</v>
      </c>
      <c r="B179" t="s">
        <v>97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      'pt-br','2179','ShowTimeLine-Label','Exibir Linha do Tempo',getdate(),getdate())</v>
      </c>
    </row>
    <row r="180" spans="1:6" x14ac:dyDescent="0.25">
      <c r="A180">
        <v>2180</v>
      </c>
      <c r="B180" t="s">
        <v>97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      'pt-br','2180','OldVersionData-Label','Versão Antiga',getdate(),getdate())</v>
      </c>
    </row>
    <row r="181" spans="1:6" x14ac:dyDescent="0.25">
      <c r="A181">
        <v>2181</v>
      </c>
      <c r="B181" t="s">
        <v>97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      'pt-br','2181','HasNoOldVersion-Label','Não existe versão antiga',getdate(),getdate())</v>
      </c>
    </row>
    <row r="182" spans="1:6" x14ac:dyDescent="0.25">
      <c r="A182">
        <v>2182</v>
      </c>
      <c r="B182" t="s">
        <v>97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      'pt-br','2182','CurrentVersionData-Label','Versão Atual',getdate(),getdate())</v>
      </c>
    </row>
    <row r="183" spans="1:6" x14ac:dyDescent="0.25">
      <c r="A183">
        <v>2183</v>
      </c>
      <c r="B183" t="s">
        <v>97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      'pt-br','2183','HasNoCurrentVersion-Label','Não existe versão atual',getdate(),getdate())</v>
      </c>
    </row>
    <row r="184" spans="1:6" x14ac:dyDescent="0.25">
      <c r="A184">
        <v>2184</v>
      </c>
      <c r="B184" t="s">
        <v>97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      'pt-br','2184','RecordTimeLine-Label','Linha do Tempo do Registro',getdate(),getdate())</v>
      </c>
    </row>
    <row r="185" spans="1:6" x14ac:dyDescent="0.25">
      <c r="A185">
        <v>2185</v>
      </c>
      <c r="B185" t="s">
        <v>97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      'pt-br','2185','HasNoTimeLine-Label','Não existe dados da Linha do Tempo',getdate(),getdate())</v>
      </c>
    </row>
    <row r="186" spans="1:6" x14ac:dyDescent="0.25">
      <c r="A186">
        <v>2186</v>
      </c>
      <c r="B186" t="s">
        <v>97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      'pt-br','2186','Localization-PageTitle','Textos de Localização',getdate(),getdate())</v>
      </c>
    </row>
    <row r="187" spans="1:6" x14ac:dyDescent="0.25">
      <c r="A187">
        <v>2187</v>
      </c>
      <c r="B187" t="s">
        <v>97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      'pt-br','2187','SearchByLanguage-Label','Por Linguagem',getdate(),getdate())</v>
      </c>
    </row>
    <row r="188" spans="1:6" x14ac:dyDescent="0.25">
      <c r="A188">
        <v>2188</v>
      </c>
      <c r="B188" t="s">
        <v>97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      'pt-br','2188','SearchByLanguage-Description','Pesquisar por Linguagem',getdate(),getdate())</v>
      </c>
    </row>
    <row r="189" spans="1:6" x14ac:dyDescent="0.25">
      <c r="A189">
        <v>2189</v>
      </c>
      <c r="B189" t="s">
        <v>97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      'pt-br','2189','SearchByLocalizationCode-Label','Por Código',getdate(),getdate())</v>
      </c>
    </row>
    <row r="190" spans="1:6" x14ac:dyDescent="0.25">
      <c r="A190">
        <v>2190</v>
      </c>
      <c r="B190" t="s">
        <v>97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      'pt-br','2190','SearchByLocalizationCode-Description','Pesquisar por Código',getdate(),getdate())</v>
      </c>
    </row>
    <row r="191" spans="1:6" x14ac:dyDescent="0.25">
      <c r="A191">
        <v>2191</v>
      </c>
      <c r="B191" t="s">
        <v>97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      'pt-br','2191','SearchByLocalizationName-Label','Por Nome',getdate(),getdate())</v>
      </c>
    </row>
    <row r="192" spans="1:6" x14ac:dyDescent="0.25">
      <c r="A192">
        <v>2192</v>
      </c>
      <c r="B192" t="s">
        <v>97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      'pt-br','2192','SearchByLocalizationName-Description','Pesquisar por Nome',getdate(),getdate())</v>
      </c>
    </row>
    <row r="193" spans="1:6" x14ac:dyDescent="0.25">
      <c r="A193">
        <v>2193</v>
      </c>
      <c r="B193" t="s">
        <v>97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      'pt-br','2193','SearchByLocalizationText-Label','Por Texto',getdate(),getdate())</v>
      </c>
    </row>
    <row r="194" spans="1:6" x14ac:dyDescent="0.25">
      <c r="A194">
        <v>2194</v>
      </c>
      <c r="B194" t="s">
        <v>97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Values(2194,      'pt-br','2194','SearchByLocalizationText-Description','Pesquisar por Texto',getdate(),getdate())</v>
      </c>
    </row>
    <row r="195" spans="1:6" x14ac:dyDescent="0.25">
      <c r="A195">
        <v>2195</v>
      </c>
      <c r="B195" t="s">
        <v>97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      'pt-br','2195','Language-Label','Linguagem',getdate(),getdate())</v>
      </c>
    </row>
    <row r="196" spans="1:6" x14ac:dyDescent="0.25">
      <c r="A196">
        <v>2196</v>
      </c>
      <c r="B196" t="s">
        <v>97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      'pt-br','2196','LocalizationCode-Label','Código',getdate(),getdate())</v>
      </c>
    </row>
    <row r="197" spans="1:6" x14ac:dyDescent="0.25">
      <c r="A197">
        <v>2197</v>
      </c>
      <c r="B197" t="s">
        <v>97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      'pt-br','2197','LocalizationName-Label','Nome',getdate(),getdate())</v>
      </c>
    </row>
    <row r="198" spans="1:6" x14ac:dyDescent="0.25">
      <c r="A198">
        <v>2198</v>
      </c>
      <c r="B198" t="s">
        <v>97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      'pt-br','2198','LocalizationRecord-Label','Dados do Texto de Localização',getdate(),getdate())</v>
      </c>
    </row>
    <row r="199" spans="1:6" x14ac:dyDescent="0.25">
      <c r="A199">
        <v>2199</v>
      </c>
      <c r="B199" t="s">
        <v>97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      'pt-br','2199','LocalizationText-Label','Texto ',getdate(),getdate())</v>
      </c>
    </row>
    <row r="200" spans="1:6" x14ac:dyDescent="0.25">
      <c r="A200">
        <v>2200</v>
      </c>
      <c r="B200" t="s">
        <v>97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      'pt-br','2200','SaveLocalizationButton-Label','Salvar Texto de Localização',getdate(),getdate())</v>
      </c>
    </row>
    <row r="201" spans="1:6" x14ac:dyDescent="0.25">
      <c r="A201">
        <v>2201</v>
      </c>
      <c r="B201" t="s">
        <v>97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      'pt-br','2201','SaveLocalizationButton-Description','Clique aqui para salvar os dados.',getdate(),getdate())</v>
      </c>
    </row>
    <row r="202" spans="1:6" x14ac:dyDescent="0.25">
      <c r="A202">
        <v>2202</v>
      </c>
      <c r="B202" t="s">
        <v>97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      'pt-br','2202','NewLocalization-Label','Novo Texto de Localização',getdate(),getdate())</v>
      </c>
    </row>
    <row r="203" spans="1:6" x14ac:dyDescent="0.25">
      <c r="A203">
        <v>2203</v>
      </c>
      <c r="B203" t="s">
        <v>97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      'pt-br','2203','ObjectPermission-PageTitle','Objeto de Permissão',getdate(),getdate())</v>
      </c>
    </row>
    <row r="204" spans="1:6" x14ac:dyDescent="0.25">
      <c r="A204">
        <v>2204</v>
      </c>
      <c r="B204" t="s">
        <v>97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      'pt-br','2204','SearchByObjectName-Label','Por Nome',getdate(),getdate())</v>
      </c>
    </row>
    <row r="205" spans="1:6" x14ac:dyDescent="0.25">
      <c r="A205">
        <v>2205</v>
      </c>
      <c r="B205" t="s">
        <v>97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      'pt-br','2205','SearchByObjectName-Description','Pesquisar por Nome',getdate(),getdate())</v>
      </c>
    </row>
    <row r="206" spans="1:6" x14ac:dyDescent="0.25">
      <c r="A206">
        <v>2206</v>
      </c>
      <c r="B206" t="s">
        <v>97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      'pt-br','2206','SearchByObjectCode-Label','Por Código',getdate(),getdate())</v>
      </c>
    </row>
    <row r="207" spans="1:6" x14ac:dyDescent="0.25">
      <c r="A207">
        <v>2207</v>
      </c>
      <c r="B207" t="s">
        <v>97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      'pt-br','2207','SearchByObjectCode-Description','Pesquisar por Código',getdate(),getdate())</v>
      </c>
    </row>
    <row r="208" spans="1:6" x14ac:dyDescent="0.25">
      <c r="A208">
        <v>2208</v>
      </c>
      <c r="B208" t="s">
        <v>97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      'pt-br','2208','NewObject-Label','Novo Objeto de Permissão',getdate(),getdate())</v>
      </c>
    </row>
    <row r="209" spans="1:6" x14ac:dyDescent="0.25">
      <c r="A209">
        <v>2209</v>
      </c>
      <c r="B209" t="s">
        <v>97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      'pt-br','2209','ObjectName-Label','Nome',getdate(),getdate())</v>
      </c>
    </row>
    <row r="210" spans="1:6" x14ac:dyDescent="0.25">
      <c r="A210">
        <v>2210</v>
      </c>
      <c r="B210" t="s">
        <v>97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      'pt-br','2210','ObjectCode-Label','Código',getdate(),getdate())</v>
      </c>
    </row>
    <row r="211" spans="1:6" x14ac:dyDescent="0.25">
      <c r="A211">
        <v>2211</v>
      </c>
      <c r="B211" t="s">
        <v>97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      'pt-br','2211','ObjectPermissionRecord-Label','Dados do Objeto de Permissão',getdate(),getdate())</v>
      </c>
    </row>
    <row r="212" spans="1:6" x14ac:dyDescent="0.25">
      <c r="A212">
        <v>2212</v>
      </c>
      <c r="B212" t="s">
        <v>97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      'pt-br','2212','SaveObjectPermissionButton-Label','Salvar Objeto de Permissão',getdate(),getdate())</v>
      </c>
    </row>
    <row r="213" spans="1:6" x14ac:dyDescent="0.25">
      <c r="A213">
        <v>2213</v>
      </c>
      <c r="B213" t="s">
        <v>97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      'pt-br','2213','SaveObjectPermissionButton-Description','Clique aqui para salvar o Objeto de Permissão',getdate(),getdate())</v>
      </c>
    </row>
    <row r="214" spans="1:6" x14ac:dyDescent="0.25">
      <c r="A214">
        <v>2214</v>
      </c>
      <c r="B214" t="s">
        <v>97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      'pt-br','2214','Permission-PageTitle','Permissões',getdate(),getdate())</v>
      </c>
    </row>
    <row r="215" spans="1:6" x14ac:dyDescent="0.25">
      <c r="A215">
        <v>2215</v>
      </c>
      <c r="B215" t="s">
        <v>97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      'pt-br','2215','SearchByObjectPermission-Label','Por Objeto de Permissão',getdate(),getdate())</v>
      </c>
    </row>
    <row r="216" spans="1:6" x14ac:dyDescent="0.25">
      <c r="A216">
        <v>2216</v>
      </c>
      <c r="B216" t="s">
        <v>97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      'pt-br','2216','SearchByRole-Label','Por Perfil',getdate(),getdate())</v>
      </c>
    </row>
    <row r="217" spans="1:6" x14ac:dyDescent="0.25">
      <c r="A217">
        <v>2217</v>
      </c>
      <c r="B217" t="s">
        <v>97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      'pt-br','2217','SearchByUser-Label','Por Usuário',getdate(),getdate())</v>
      </c>
    </row>
    <row r="218" spans="1:6" x14ac:dyDescent="0.25">
      <c r="A218">
        <v>2218</v>
      </c>
      <c r="B218" t="s">
        <v>97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      'pt-br','2218','NewPermission-Label','Nova Permissão',getdate(),getdate())</v>
      </c>
    </row>
    <row r="219" spans="1:6" x14ac:dyDescent="0.25">
      <c r="A219">
        <v>2219</v>
      </c>
      <c r="B219" t="s">
        <v>97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      'pt-br','2219','NewPermission-Description','Clique aqui para inserir uma nova Permissão',getdate(),getdate())</v>
      </c>
    </row>
    <row r="220" spans="1:6" x14ac:dyDescent="0.25">
      <c r="A220">
        <v>2220</v>
      </c>
      <c r="B220" t="s">
        <v>97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      'pt-br','2220','ObjectName-Label','Objeto de Permissão',getdate(),getdate())</v>
      </c>
    </row>
    <row r="221" spans="1:6" x14ac:dyDescent="0.25">
      <c r="A221">
        <v>2221</v>
      </c>
      <c r="B221" t="s">
        <v>97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      'pt-br','2221','RoleName-Label','Perfil',getdate(),getdate())</v>
      </c>
    </row>
    <row r="222" spans="1:6" x14ac:dyDescent="0.25">
      <c r="A222">
        <v>2222</v>
      </c>
      <c r="B222" t="s">
        <v>97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      'pt-br','2222','PermissionRecord-Label','Dados da Permissão',getdate(),getdate())</v>
      </c>
    </row>
    <row r="223" spans="1:6" x14ac:dyDescent="0.25">
      <c r="A223">
        <v>2223</v>
      </c>
      <c r="B223" t="s">
        <v>97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      'pt-br','2223','PermissionType-Label','Tipo de Permissão',getdate(),getdate())</v>
      </c>
    </row>
    <row r="224" spans="1:6" x14ac:dyDescent="0.25">
      <c r="A224">
        <v>2224</v>
      </c>
      <c r="B224" t="s">
        <v>97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      'pt-br','2224','ReadStatus-Label','Status de Leitura',getdate(),getdate())</v>
      </c>
    </row>
    <row r="225" spans="1:6" x14ac:dyDescent="0.25">
      <c r="A225">
        <v>2225</v>
      </c>
      <c r="B225" t="s">
        <v>97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      'pt-br','2225','SaveStatus-Label','Status de Gravação',getdate(),getdate())</v>
      </c>
    </row>
    <row r="226" spans="1:6" x14ac:dyDescent="0.25">
      <c r="A226">
        <v>2226</v>
      </c>
      <c r="B226" t="s">
        <v>97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      'pt-br','2226','DeleteStatus-Label','Status de Exclusão',getdate(),getdate())</v>
      </c>
    </row>
    <row r="227" spans="1:6" x14ac:dyDescent="0.25">
      <c r="A227">
        <v>2227</v>
      </c>
      <c r="B227" t="s">
        <v>97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      'pt-br','2227','SavePermissionButton-Label','Salvar Permissão',getdate(),getdate())</v>
      </c>
    </row>
    <row r="228" spans="1:6" x14ac:dyDescent="0.25">
      <c r="A228">
        <v>2228</v>
      </c>
      <c r="B228" t="s">
        <v>97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      'pt-br','2228','SavePermissionButton-Description','Clique aqui para salvar a Permissão',getdate(),getdate())</v>
      </c>
    </row>
    <row r="229" spans="1:6" x14ac:dyDescent="0.25">
      <c r="A229">
        <v>2229</v>
      </c>
      <c r="B229" t="s">
        <v>97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      'pt-br','2229','Role-PageTitle','Perfil',getdate(),getdate())</v>
      </c>
    </row>
    <row r="230" spans="1:6" x14ac:dyDescent="0.25">
      <c r="A230">
        <v>2230</v>
      </c>
      <c r="B230" t="s">
        <v>97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      'pt-br','2230','SearchByRoleName-Label','Por Nome do Perfil',getdate(),getdate())</v>
      </c>
    </row>
    <row r="231" spans="1:6" x14ac:dyDescent="0.25">
      <c r="A231">
        <v>2231</v>
      </c>
      <c r="B231" t="s">
        <v>97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      'pt-br','2231','SearchByRoleName-Description','Pesquisar por Nome do Perfil',getdate(),getdate())</v>
      </c>
    </row>
    <row r="232" spans="1:6" x14ac:dyDescent="0.25">
      <c r="A232">
        <v>2232</v>
      </c>
      <c r="B232" t="s">
        <v>97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      'pt-br','2232','NewRole-Label','Novo Perfil',getdate(),getdate())</v>
      </c>
    </row>
    <row r="233" spans="1:6" x14ac:dyDescent="0.25">
      <c r="A233">
        <v>2233</v>
      </c>
      <c r="B233" t="s">
        <v>97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      'pt-br','2233','NewRole-Description','Clique aqui para criar um novo Perfil',getdate(),getdate())</v>
      </c>
    </row>
    <row r="234" spans="1:6" x14ac:dyDescent="0.25">
      <c r="A234">
        <v>2234</v>
      </c>
      <c r="B234" t="s">
        <v>97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      'pt-br','2234','RoleName-Label','Nome do Perfil',getdate(),getdate())</v>
      </c>
    </row>
    <row r="235" spans="1:6" x14ac:dyDescent="0.25">
      <c r="A235">
        <v>2235</v>
      </c>
      <c r="B235" t="s">
        <v>97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      'pt-br','2235','RoleRecord-Label','Dados do Perfil',getdate(),getdate())</v>
      </c>
    </row>
    <row r="236" spans="1:6" x14ac:dyDescent="0.25">
      <c r="A236">
        <v>2236</v>
      </c>
      <c r="B236" t="s">
        <v>97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      'pt-br','2236','SaveRoleButton-Label','Salvar Perfil',getdate(),getdate())</v>
      </c>
    </row>
    <row r="237" spans="1:6" x14ac:dyDescent="0.25">
      <c r="A237">
        <v>2237</v>
      </c>
      <c r="B237" t="s">
        <v>97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      'pt-br','2237','SaveRoleButton-Description','Clique aqui para salvar o Perfil',getdate(),getdate())</v>
      </c>
    </row>
    <row r="238" spans="1:6" x14ac:dyDescent="0.25">
      <c r="A238">
        <v>2238</v>
      </c>
      <c r="B238" t="s">
        <v>97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      'pt-br','2238','SessionLog-PageTitle','Dados de Sessão',getdate(),getdate())</v>
      </c>
    </row>
    <row r="239" spans="1:6" x14ac:dyDescent="0.25">
      <c r="A239">
        <v>2239</v>
      </c>
      <c r="B239" t="s">
        <v>97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      'pt-br','2239','SearchByEmail-Description','Pesquisar por E-mail',getdate(),getdate())</v>
      </c>
    </row>
    <row r="240" spans="1:6" x14ac:dyDescent="0.25">
      <c r="A240">
        <v>2240</v>
      </c>
      <c r="B240" t="s">
        <v>97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      'pt-br','2240','SearchByDateInterval-Label','Por Intervalo de Dados',getdate(),getdate())</v>
      </c>
    </row>
    <row r="241" spans="1:6" x14ac:dyDescent="0.25">
      <c r="A241">
        <v>2241</v>
      </c>
      <c r="B241" t="s">
        <v>97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      'pt-br','2241','SearchByInicialDate-Label','Data Inicial',getdate(),getdate())</v>
      </c>
    </row>
    <row r="242" spans="1:6" x14ac:dyDescent="0.25">
      <c r="A242">
        <v>2242</v>
      </c>
      <c r="B242" t="s">
        <v>97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      'pt-br','2242','SearchByFinalDate-Label','Data Final',getdate(),getdate())</v>
      </c>
    </row>
    <row r="243" spans="1:6" x14ac:dyDescent="0.25">
      <c r="A243">
        <v>2243</v>
      </c>
      <c r="B243" t="s">
        <v>97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      'pt-br','2243','AccessDate-Label','Data de Acesso',getdate(),getdate())</v>
      </c>
    </row>
    <row r="244" spans="1:6" x14ac:dyDescent="0.25">
      <c r="A244">
        <v>2244</v>
      </c>
      <c r="B244" t="s">
        <v>97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      'pt-br','2244','IP-Label','IP',getdate(),getdate())</v>
      </c>
    </row>
    <row r="245" spans="1:6" x14ac:dyDescent="0.25">
      <c r="A245">
        <v>2245</v>
      </c>
      <c r="B245" t="s">
        <v>97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      'pt-br','2245','SuperAdmin-MenuText','Super Admin',getdate(),getdate())</v>
      </c>
    </row>
    <row r="246" spans="1:6" x14ac:dyDescent="0.25">
      <c r="A246">
        <v>2246</v>
      </c>
      <c r="B246" t="s">
        <v>97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      'pt-br','2246','BasicsData-MenuText','Gerenciamento',getdate(),getdate())</v>
      </c>
    </row>
    <row r="247" spans="1:6" x14ac:dyDescent="0.25">
      <c r="A247">
        <v>2247</v>
      </c>
      <c r="B247" t="s">
        <v>97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      'pt-br','2247','Monitoring-MenuText','Monitoramento',getdate(),getdate())</v>
      </c>
    </row>
    <row r="248" spans="1:6" x14ac:dyDescent="0.25">
      <c r="A248">
        <v>2248</v>
      </c>
      <c r="B248" t="s">
        <v>97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      'pt-br','2248','Instance-MenuText','Instâncias',getdate(),getdate())</v>
      </c>
    </row>
    <row r="249" spans="1:6" x14ac:dyDescent="0.25">
      <c r="A249">
        <v>2249</v>
      </c>
      <c r="B249" t="s">
        <v>97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      'pt-br','2249','Role-MenuText','Perfils',getdate(),getdate())</v>
      </c>
    </row>
    <row r="250" spans="1:6" x14ac:dyDescent="0.25">
      <c r="A250">
        <v>2250</v>
      </c>
      <c r="B250" t="s">
        <v>97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      'pt-br','2250','Users-MenuText','Usuários',getdate(),getdate())</v>
      </c>
    </row>
    <row r="251" spans="1:6" x14ac:dyDescent="0.25">
      <c r="A251">
        <v>2251</v>
      </c>
      <c r="B251" t="s">
        <v>97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      'pt-br','2251','ObjectPermission-MenuText','Objetos de Permissões',getdate(),getdate())</v>
      </c>
    </row>
    <row r="252" spans="1:6" x14ac:dyDescent="0.25">
      <c r="A252">
        <v>2252</v>
      </c>
      <c r="B252" t="s">
        <v>97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      'pt-br','2252','Permissions-MenuText','Permissões',getdate(),getdate())</v>
      </c>
    </row>
    <row r="253" spans="1:6" x14ac:dyDescent="0.25">
      <c r="A253">
        <v>2253</v>
      </c>
      <c r="B253" t="s">
        <v>97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      'pt-br','2253','Localization-MenuText','Textos de Localização',getdate(),getdate())</v>
      </c>
    </row>
    <row r="254" spans="1:6" x14ac:dyDescent="0.25">
      <c r="A254">
        <v>2256</v>
      </c>
      <c r="B254" t="s">
        <v>97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      'pt-br','2256','DataLog-MenuText','Log de Dados',getdate(),getdate())</v>
      </c>
    </row>
    <row r="255" spans="1:6" x14ac:dyDescent="0.25">
      <c r="A255">
        <v>2257</v>
      </c>
      <c r="B255" t="s">
        <v>97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      'pt-br','2257','SessionLog-MenuText','Log de Sessão',getdate(),getdate())</v>
      </c>
    </row>
    <row r="256" spans="1:6" x14ac:dyDescent="0.25">
      <c r="A256">
        <v>2258</v>
      </c>
      <c r="B256" t="s">
        <v>97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      'pt-br','2258','SearchByGroupParameterName-Label','Nome do Grupo de Parâmetro',getdate(),getdate())</v>
      </c>
    </row>
    <row r="257" spans="1:6" x14ac:dyDescent="0.25">
      <c r="A257">
        <v>2259</v>
      </c>
      <c r="B257" t="s">
        <v>97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      'pt-br','2259','SearchByGroupParameterName-Description','Pesquisar por Nome de Grupo de Parâmetro',getdate(),getdate())</v>
      </c>
    </row>
    <row r="258" spans="1:6" x14ac:dyDescent="0.25">
      <c r="A258">
        <v>2260</v>
      </c>
      <c r="B258" t="s">
        <v>97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17" si="13">"insert into sysLocalizationText Values(" &amp;A258 &amp; "," &amp; B258 &amp; "," &amp;C258 &amp; "," &amp; D258 &amp; "," &amp; E258 &amp; ",getdate(),getdate())"</f>
        <v>insert into sysLocalizationText Values(2260,      'pt-br','2260','NewGroupParameter-Label','Novo Grupo de Parâmetro',getdate(),getdate())</v>
      </c>
    </row>
    <row r="259" spans="1:6" x14ac:dyDescent="0.25">
      <c r="A259">
        <v>2261</v>
      </c>
      <c r="B259" t="s">
        <v>97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      'pt-br','2261','NewGroupParameter-Description','Clique aqui para criar um novo Grupo de Parâmetro ',getdate(),getdate())</v>
      </c>
    </row>
    <row r="260" spans="1:6" x14ac:dyDescent="0.25">
      <c r="A260">
        <v>2262</v>
      </c>
      <c r="B260" t="s">
        <v>97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      'pt-br','2262','GroupParameterRecord-Label','Dados do Grupo de Parâmetro',getdate(),getdate())</v>
      </c>
    </row>
    <row r="261" spans="1:6" x14ac:dyDescent="0.25">
      <c r="A261">
        <v>2263</v>
      </c>
      <c r="B261" t="s">
        <v>97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      'pt-br','2263','GroupParameterName-Label','Nome do Grupo de Parâmetro',getdate(),getdate())</v>
      </c>
    </row>
    <row r="262" spans="1:6" x14ac:dyDescent="0.25">
      <c r="A262">
        <v>2264</v>
      </c>
      <c r="B262" t="s">
        <v>97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      'pt-br','2264','SaveGroupParameterButton-Label','Save Group Parameter',getdate(),getdate())</v>
      </c>
    </row>
    <row r="263" spans="1:6" x14ac:dyDescent="0.25">
      <c r="A263">
        <v>2265</v>
      </c>
      <c r="B263" t="s">
        <v>97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      'pt-br','2265','SaveGroupParameterButton-Description','Clique aqui para salvar o Grupo de Parâmetro',getdate(),getdate())</v>
      </c>
    </row>
    <row r="264" spans="1:6" x14ac:dyDescent="0.25">
      <c r="A264">
        <v>2266</v>
      </c>
      <c r="B264" t="s">
        <v>97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      'pt-br','2266','GroupParameter-PageTitle','Grupo de Parâmetros',getdate(),getdate())</v>
      </c>
    </row>
    <row r="265" spans="1:6" x14ac:dyDescent="0.25">
      <c r="A265">
        <v>2267</v>
      </c>
      <c r="B265" t="s">
        <v>97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      'pt-br','2267','SearchByParameterName-Label','Nome do Parâmetro',getdate(),getdate())</v>
      </c>
    </row>
    <row r="266" spans="1:6" x14ac:dyDescent="0.25">
      <c r="A266">
        <v>2268</v>
      </c>
      <c r="B266" t="s">
        <v>97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      'pt-br','2268','SearchByParameterName-Description','Pesquisar por Nome do Parâmetro',getdate(),getdate())</v>
      </c>
    </row>
    <row r="267" spans="1:6" x14ac:dyDescent="0.25">
      <c r="A267">
        <v>2269</v>
      </c>
      <c r="B267" t="s">
        <v>97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      'pt-br','2269','NewParameter-Label','Novo Parâmetro',getdate(),getdate())</v>
      </c>
    </row>
    <row r="268" spans="1:6" x14ac:dyDescent="0.25">
      <c r="A268">
        <v>2270</v>
      </c>
      <c r="B268" t="s">
        <v>97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      'pt-br','2270','NewParameter-Description','Clique aqui par acriar um novo Parâmetro',getdate(),getdate())</v>
      </c>
    </row>
    <row r="269" spans="1:6" x14ac:dyDescent="0.25">
      <c r="A269">
        <v>2271</v>
      </c>
      <c r="B269" t="s">
        <v>97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      'pt-br','2271','ParameterRecord-Label','Dados do Parâmetro',getdate(),getdate())</v>
      </c>
    </row>
    <row r="270" spans="1:6" x14ac:dyDescent="0.25">
      <c r="A270">
        <v>2272</v>
      </c>
      <c r="B270" t="s">
        <v>97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      'pt-br','2272','ParameterName-Label','Nome do Parâmetro',getdate(),getdate())</v>
      </c>
    </row>
    <row r="271" spans="1:6" x14ac:dyDescent="0.25">
      <c r="A271">
        <v>2273</v>
      </c>
      <c r="B271" t="s">
        <v>97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      'pt-br','2273','SaveParameterButton-Label','Salvar Parâmetro',getdate(),getdate())</v>
      </c>
    </row>
    <row r="272" spans="1:6" x14ac:dyDescent="0.25">
      <c r="A272">
        <v>2274</v>
      </c>
      <c r="B272" t="s">
        <v>97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      'pt-br','2274','SaveParameterButton-Description','Clique aqui para salvar o Parâmetro',getdate(),getdate())</v>
      </c>
    </row>
    <row r="273" spans="1:6" x14ac:dyDescent="0.25">
      <c r="A273">
        <v>2275</v>
      </c>
      <c r="B273" t="s">
        <v>97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      'pt-br','2275','Parameter-PageTitle','Parâmetros',getdate(),getdate())</v>
      </c>
    </row>
    <row r="274" spans="1:6" x14ac:dyDescent="0.25">
      <c r="A274">
        <v>2276</v>
      </c>
      <c r="B274" t="s">
        <v>97</v>
      </c>
      <c r="C274" t="str">
        <f t="shared" si="15"/>
        <v>'2276'</v>
      </c>
      <c r="D274" s="1" t="s">
        <v>152</v>
      </c>
      <c r="E274" s="1" t="s">
        <v>154</v>
      </c>
      <c r="F274" t="str">
        <f t="shared" si="13"/>
        <v>insert into sysLocalizationText Values(2276,      'pt-br','2276','ChangeUserLanguage-Title','Alterar linguagem do usuário',getdate(),getdate())</v>
      </c>
    </row>
    <row r="275" spans="1:6" x14ac:dyDescent="0.25">
      <c r="A275">
        <v>2277</v>
      </c>
      <c r="B275" t="s">
        <v>97</v>
      </c>
      <c r="C275" t="str">
        <f t="shared" si="16"/>
        <v>'2277'</v>
      </c>
      <c r="D275" s="1" t="s">
        <v>153</v>
      </c>
      <c r="E275" s="1" t="s">
        <v>155</v>
      </c>
      <c r="F275" t="str">
        <f t="shared" si="13"/>
        <v>insert into sysLocalizationText Values(2277,      'pt-br','2277','ChangeUserLanguage-Message','A linguagem do usuário foi alterada com sucesso. Faça login novamente.',getdate(),getdate())</v>
      </c>
    </row>
    <row r="276" spans="1:6" x14ac:dyDescent="0.25">
      <c r="A276">
        <v>2278</v>
      </c>
      <c r="B276" t="s">
        <v>97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      'pt-br','2278','ExceptionLog-PageTitle','Log de Exceções',getdate(),getdate())</v>
      </c>
    </row>
    <row r="277" spans="1:6" x14ac:dyDescent="0.25">
      <c r="A277">
        <v>2279</v>
      </c>
      <c r="B277" t="s">
        <v>97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      'pt-br','2279','SearchByOrgin-Label','Pesquisar por Origem',getdate(),getdate())</v>
      </c>
    </row>
    <row r="278" spans="1:6" x14ac:dyDescent="0.25">
      <c r="A278">
        <v>2280</v>
      </c>
      <c r="B278" t="s">
        <v>97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      'pt-br','2280','Origin-Label','Origem',getdate(),getdate())</v>
      </c>
    </row>
    <row r="279" spans="1:6" x14ac:dyDescent="0.25">
      <c r="A279">
        <v>2281</v>
      </c>
      <c r="B279" t="s">
        <v>97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      'pt-br','2281','TargetSite-Label','Local Alvo',getdate(),getdate())</v>
      </c>
    </row>
    <row r="280" spans="1:6" x14ac:dyDescent="0.25">
      <c r="A280">
        <v>2282</v>
      </c>
      <c r="B280" t="s">
        <v>97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      'pt-br','2282','ErrMessage-Label','Messagem de Erro',getdate(),getdate())</v>
      </c>
    </row>
    <row r="281" spans="1:6" x14ac:dyDescent="0.25">
      <c r="A281">
        <v>2283</v>
      </c>
      <c r="B281" t="s">
        <v>97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      'pt-br','2283','StackTrace-Label','Rastreamento da Pilha',getdate(),getdate())</v>
      </c>
    </row>
    <row r="282" spans="1:6" x14ac:dyDescent="0.25">
      <c r="A282">
        <v>2284</v>
      </c>
      <c r="B282" t="s">
        <v>97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      'pt-br','2284','ClientIP-Label','IP do Cliente',getdate(),getdate())</v>
      </c>
    </row>
    <row r="283" spans="1:6" x14ac:dyDescent="0.25">
      <c r="A283">
        <v>2285</v>
      </c>
      <c r="B283" t="s">
        <v>97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      'pt-br','2285','SearchByConfigName-Label','Por Nome Configuração',getdate(),getdate())</v>
      </c>
    </row>
    <row r="284" spans="1:6" x14ac:dyDescent="0.25">
      <c r="A284">
        <v>2286</v>
      </c>
      <c r="B284" t="s">
        <v>97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      'pt-br','2286','SearchByConfigName-Description','Pesquisar por Nome Configuração',getdate(),getdate())</v>
      </c>
    </row>
    <row r="285" spans="1:6" x14ac:dyDescent="0.25">
      <c r="A285">
        <v>2287</v>
      </c>
      <c r="B285" t="s">
        <v>97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      'pt-br','2287','NewConfig-Label','Nova Configguração',getdate(),getdate())</v>
      </c>
    </row>
    <row r="286" spans="1:6" x14ac:dyDescent="0.25">
      <c r="A286">
        <v>2288</v>
      </c>
      <c r="B286" t="s">
        <v>97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      'pt-br','2288','NewConfig-Description','Clique aqui para criar uma nova Configuração',getdate(),getdate())</v>
      </c>
    </row>
    <row r="287" spans="1:6" x14ac:dyDescent="0.25">
      <c r="A287">
        <v>2289</v>
      </c>
      <c r="B287" t="s">
        <v>97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      'pt-br','2289','ConfigName','Nome Configuração',getdate(),getdate())</v>
      </c>
    </row>
    <row r="288" spans="1:6" x14ac:dyDescent="0.25">
      <c r="A288">
        <v>2290</v>
      </c>
      <c r="B288" t="s">
        <v>97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      'pt-br','2290','ConfigRecord-Label','Configurações',getdate(),getdate())</v>
      </c>
    </row>
    <row r="289" spans="1:6" x14ac:dyDescent="0.25">
      <c r="A289">
        <v>2291</v>
      </c>
      <c r="B289" t="s">
        <v>97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      'pt-br','2291','ConfigName-Label','Nome da Configuração',getdate(),getdate())</v>
      </c>
    </row>
    <row r="290" spans="1:6" x14ac:dyDescent="0.25">
      <c r="A290">
        <v>2292</v>
      </c>
      <c r="B290" t="s">
        <v>97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      'pt-br','2292','ConfigValue-Label','Valor da Configuração',getdate(),getdate())</v>
      </c>
    </row>
    <row r="291" spans="1:6" x14ac:dyDescent="0.25">
      <c r="A291">
        <v>2293</v>
      </c>
      <c r="B291" t="s">
        <v>97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      'pt-br','2293','ConfigValue','Valor da Configuração',getdate(),getdate())</v>
      </c>
    </row>
    <row r="292" spans="1:6" x14ac:dyDescent="0.25">
      <c r="A292">
        <v>2294</v>
      </c>
      <c r="B292" t="s">
        <v>97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      'pt-br','2294','SaveConfigButton-Label','Salvar Configuração',getdate(),getdate())</v>
      </c>
    </row>
    <row r="293" spans="1:6" x14ac:dyDescent="0.25">
      <c r="A293">
        <v>2295</v>
      </c>
      <c r="B293" t="s">
        <v>97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      'pt-br','2295','SaveConfigButton-Description','Clique aqui para salvar a Configuração',getdate(),getdate())</v>
      </c>
    </row>
    <row r="294" spans="1:6" x14ac:dyDescent="0.25">
      <c r="A294">
        <v>2296</v>
      </c>
      <c r="B294" t="s">
        <v>97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      'pt-br','2296','Configs-PageTitle','Configurações',getdate(),getdate())</v>
      </c>
    </row>
    <row r="295" spans="1:6" x14ac:dyDescent="0.25">
      <c r="A295">
        <v>2297</v>
      </c>
      <c r="B295" t="s">
        <v>97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      'pt-br','2297','Logout-Label','Sair',getdate(),getdate())</v>
      </c>
    </row>
    <row r="296" spans="1:6" x14ac:dyDescent="0.25">
      <c r="A296">
        <v>2298</v>
      </c>
      <c r="B296" t="s">
        <v>97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      'pt-br','2298','AlterProfileImage-Description','Arraste aqui o arquivo que deseja, ou clique no botão acima para navegar.',getdate(),getdate())</v>
      </c>
    </row>
    <row r="297" spans="1:6" x14ac:dyDescent="0.25">
      <c r="A297">
        <v>2299</v>
      </c>
      <c r="B297" t="s">
        <v>97</v>
      </c>
      <c r="C297" t="str">
        <f t="shared" ref="C297:C317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      'pt-br','2299','Menu-Superadmin','Super Admin',getdate(),getdate())</v>
      </c>
    </row>
    <row r="298" spans="1:6" x14ac:dyDescent="0.25">
      <c r="A298">
        <v>2300</v>
      </c>
      <c r="B298" t="s">
        <v>97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      'pt-br','2300','Menu-Configs','Configs de Negócio',getdate(),getdate())</v>
      </c>
    </row>
    <row r="299" spans="1:6" x14ac:dyDescent="0.25">
      <c r="A299">
        <v>2301</v>
      </c>
      <c r="B299" t="s">
        <v>97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      'pt-br','2301','Menu-Instance','Instâncias',getdate(),getdate())</v>
      </c>
    </row>
    <row r="300" spans="1:6" x14ac:dyDescent="0.25">
      <c r="A300">
        <v>2302</v>
      </c>
      <c r="B300" t="s">
        <v>97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      'pt-br','2302','Menu-Roles','Roles',getdate(),getdate())</v>
      </c>
    </row>
    <row r="301" spans="1:6" x14ac:dyDescent="0.25">
      <c r="A301">
        <v>2303</v>
      </c>
      <c r="B301" t="s">
        <v>97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      'pt-br','2303','Menu-ObjectPermissions','Objetos de Permissões',getdate(),getdate())</v>
      </c>
    </row>
    <row r="302" spans="1:6" x14ac:dyDescent="0.25">
      <c r="A302">
        <v>2304</v>
      </c>
      <c r="B302" t="s">
        <v>97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      'pt-br','2304','Menu-Permissions','Permissões',getdate(),getdate())</v>
      </c>
    </row>
    <row r="303" spans="1:6" x14ac:dyDescent="0.25">
      <c r="A303">
        <v>2305</v>
      </c>
      <c r="B303" t="s">
        <v>97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      'pt-br','2305','Menu-Users','Usuários',getdate(),getdate())</v>
      </c>
    </row>
    <row r="304" spans="1:6" x14ac:dyDescent="0.25">
      <c r="A304">
        <v>2306</v>
      </c>
      <c r="B304" t="s">
        <v>97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      'pt-br','2306','Menu-LocalizationTexts','Textos de Localização',getdate(),getdate())</v>
      </c>
    </row>
    <row r="305" spans="1:6" x14ac:dyDescent="0.25">
      <c r="A305">
        <v>2307</v>
      </c>
      <c r="B305" t="s">
        <v>97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      'pt-br','2307','Menu-GroupParameters','Grupo de Parâmetros',getdate(),getdate())</v>
      </c>
    </row>
    <row r="306" spans="1:6" x14ac:dyDescent="0.25">
      <c r="A306">
        <v>2308</v>
      </c>
      <c r="B306" t="s">
        <v>97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      'pt-br','2308','Menu-Parameters','Parâmetros',getdate(),getdate())</v>
      </c>
    </row>
    <row r="307" spans="1:6" x14ac:dyDescent="0.25">
      <c r="A307">
        <v>2309</v>
      </c>
      <c r="B307" t="s">
        <v>97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      'pt-br','2309','Menu-Monitoring','Monitoramento',getdate(),getdate())</v>
      </c>
    </row>
    <row r="308" spans="1:6" x14ac:dyDescent="0.25">
      <c r="A308">
        <v>2310</v>
      </c>
      <c r="B308" t="s">
        <v>97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      'pt-br','2310','Menu-SessionLog','Logs de Acessos',getdate(),getdate())</v>
      </c>
    </row>
    <row r="309" spans="1:6" x14ac:dyDescent="0.25">
      <c r="A309">
        <v>2311</v>
      </c>
      <c r="B309" t="s">
        <v>97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      'pt-br','2311','Menu-DataLog','Logs de Dados',getdate(),getdate())</v>
      </c>
    </row>
    <row r="310" spans="1:6" x14ac:dyDescent="0.25">
      <c r="A310">
        <v>2312</v>
      </c>
      <c r="B310" t="s">
        <v>97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      'pt-br','2312','Menu-ExceptionLog','Logs de Erros',getdate(),getdate())</v>
      </c>
    </row>
    <row r="311" spans="1:6" x14ac:dyDescent="0.25">
      <c r="A311">
        <v>2313</v>
      </c>
      <c r="B311" t="s">
        <v>97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      'pt-br','2313','Editing-Label','Editando',getdate(),getdate())</v>
      </c>
    </row>
    <row r="312" spans="1:6" x14ac:dyDescent="0.25">
      <c r="A312">
        <v>2314</v>
      </c>
      <c r="B312" t="s">
        <v>97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      'pt-br','2314','Inserting-Label','Inserindo',getdate(),getdate())</v>
      </c>
    </row>
    <row r="313" spans="1:6" x14ac:dyDescent="0.25">
      <c r="A313">
        <v>2315</v>
      </c>
      <c r="B313" t="s">
        <v>97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      'pt-br','2315','RemoveConfirmation-Label','Deseja realmente remover este registro?',getdate(),getdate())</v>
      </c>
    </row>
    <row r="314" spans="1:6" x14ac:dyDescent="0.25">
      <c r="A314">
        <v>2316</v>
      </c>
      <c r="B314" t="s">
        <v>97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      'pt-br','2316','RemoveConfirmation-Message','O registro foi removido com sucesso.',getdate(),getdate())</v>
      </c>
    </row>
    <row r="315" spans="1:6" x14ac:dyDescent="0.25">
      <c r="A315">
        <v>2317</v>
      </c>
      <c r="B315" t="s">
        <v>97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      'pt-br','2317','AllowRead-Label','Ler',getdate(),getdate())</v>
      </c>
    </row>
    <row r="316" spans="1:6" x14ac:dyDescent="0.25">
      <c r="A316">
        <v>2318</v>
      </c>
      <c r="B316" t="s">
        <v>97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      'pt-br','2318','AllowSave-Label','Salvar',getdate(),getdate())</v>
      </c>
    </row>
    <row r="317" spans="1:6" x14ac:dyDescent="0.25">
      <c r="A317">
        <v>2319</v>
      </c>
      <c r="B317" t="s">
        <v>97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      'pt-br','2319','AllowDelete-Label','Remover',getdate(),getdate())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16" workbookViewId="0">
      <selection sqref="A1:A50"/>
    </sheetView>
  </sheetViews>
  <sheetFormatPr defaultRowHeight="15" x14ac:dyDescent="0.25"/>
  <cols>
    <col min="1" max="1" width="11.85546875" customWidth="1"/>
  </cols>
  <sheetData>
    <row r="1" spans="1:2" x14ac:dyDescent="0.25">
      <c r="A1">
        <v>2001</v>
      </c>
      <c r="B1" t="str">
        <f t="shared" ref="B1:B32" si="0">"'" &amp; A1 &amp; "'"</f>
        <v>'2001'</v>
      </c>
    </row>
    <row r="2" spans="1:2" x14ac:dyDescent="0.25">
      <c r="A2">
        <v>2002</v>
      </c>
      <c r="B2" t="str">
        <f t="shared" si="0"/>
        <v>'2002'</v>
      </c>
    </row>
    <row r="3" spans="1:2" x14ac:dyDescent="0.25">
      <c r="A3">
        <v>2003</v>
      </c>
      <c r="B3" t="str">
        <f t="shared" si="0"/>
        <v>'2003'</v>
      </c>
    </row>
    <row r="4" spans="1:2" x14ac:dyDescent="0.25">
      <c r="A4">
        <v>2004</v>
      </c>
      <c r="B4" t="str">
        <f t="shared" si="0"/>
        <v>'2004'</v>
      </c>
    </row>
    <row r="5" spans="1:2" x14ac:dyDescent="0.25">
      <c r="A5">
        <v>2005</v>
      </c>
      <c r="B5" t="str">
        <f t="shared" si="0"/>
        <v>'2005'</v>
      </c>
    </row>
    <row r="6" spans="1:2" x14ac:dyDescent="0.25">
      <c r="A6">
        <v>2006</v>
      </c>
      <c r="B6" t="str">
        <f t="shared" si="0"/>
        <v>'2006'</v>
      </c>
    </row>
    <row r="7" spans="1:2" x14ac:dyDescent="0.25">
      <c r="A7">
        <v>2007</v>
      </c>
      <c r="B7" t="str">
        <f t="shared" si="0"/>
        <v>'2007'</v>
      </c>
    </row>
    <row r="8" spans="1:2" x14ac:dyDescent="0.25">
      <c r="A8">
        <v>2008</v>
      </c>
      <c r="B8" t="str">
        <f t="shared" si="0"/>
        <v>'2008'</v>
      </c>
    </row>
    <row r="9" spans="1:2" x14ac:dyDescent="0.25">
      <c r="A9">
        <v>2009</v>
      </c>
      <c r="B9" t="str">
        <f t="shared" si="0"/>
        <v>'2009'</v>
      </c>
    </row>
    <row r="10" spans="1:2" x14ac:dyDescent="0.25">
      <c r="A10">
        <v>2010</v>
      </c>
      <c r="B10" t="str">
        <f t="shared" si="0"/>
        <v>'2010'</v>
      </c>
    </row>
    <row r="11" spans="1:2" x14ac:dyDescent="0.25">
      <c r="A11">
        <v>2011</v>
      </c>
      <c r="B11" t="str">
        <f t="shared" si="0"/>
        <v>'2011'</v>
      </c>
    </row>
    <row r="12" spans="1:2" x14ac:dyDescent="0.25">
      <c r="A12">
        <v>2012</v>
      </c>
      <c r="B12" t="str">
        <f t="shared" si="0"/>
        <v>'2012'</v>
      </c>
    </row>
    <row r="13" spans="1:2" x14ac:dyDescent="0.25">
      <c r="A13">
        <v>2013</v>
      </c>
      <c r="B13" t="str">
        <f t="shared" si="0"/>
        <v>'2013'</v>
      </c>
    </row>
    <row r="14" spans="1:2" x14ac:dyDescent="0.25">
      <c r="A14">
        <v>2014</v>
      </c>
      <c r="B14" t="str">
        <f t="shared" si="0"/>
        <v>'2014'</v>
      </c>
    </row>
    <row r="15" spans="1:2" x14ac:dyDescent="0.25">
      <c r="A15">
        <v>2015</v>
      </c>
      <c r="B15" t="str">
        <f t="shared" si="0"/>
        <v>'2015'</v>
      </c>
    </row>
    <row r="16" spans="1:2" x14ac:dyDescent="0.25">
      <c r="A16">
        <v>2016</v>
      </c>
      <c r="B16" t="str">
        <f t="shared" si="0"/>
        <v>'2016'</v>
      </c>
    </row>
    <row r="17" spans="1:2" x14ac:dyDescent="0.25">
      <c r="A17">
        <v>2017</v>
      </c>
      <c r="B17" t="str">
        <f t="shared" si="0"/>
        <v>'2017'</v>
      </c>
    </row>
    <row r="18" spans="1:2" x14ac:dyDescent="0.25">
      <c r="A18">
        <v>2018</v>
      </c>
      <c r="B18" t="str">
        <f t="shared" si="0"/>
        <v>'2018'</v>
      </c>
    </row>
    <row r="19" spans="1:2" x14ac:dyDescent="0.25">
      <c r="A19">
        <v>2019</v>
      </c>
      <c r="B19" t="str">
        <f t="shared" si="0"/>
        <v>'2019'</v>
      </c>
    </row>
    <row r="20" spans="1:2" x14ac:dyDescent="0.25">
      <c r="A20">
        <v>2020</v>
      </c>
      <c r="B20" t="str">
        <f t="shared" si="0"/>
        <v>'2020'</v>
      </c>
    </row>
    <row r="21" spans="1:2" x14ac:dyDescent="0.25">
      <c r="A21">
        <v>2021</v>
      </c>
      <c r="B21" t="str">
        <f t="shared" si="0"/>
        <v>'2021'</v>
      </c>
    </row>
    <row r="22" spans="1:2" x14ac:dyDescent="0.25">
      <c r="A22">
        <v>2022</v>
      </c>
      <c r="B22" t="str">
        <f t="shared" si="0"/>
        <v>'2022'</v>
      </c>
    </row>
    <row r="23" spans="1:2" x14ac:dyDescent="0.25">
      <c r="A23">
        <v>2023</v>
      </c>
      <c r="B23" t="str">
        <f t="shared" si="0"/>
        <v>'2023'</v>
      </c>
    </row>
    <row r="24" spans="1:2" x14ac:dyDescent="0.25">
      <c r="A24">
        <v>2024</v>
      </c>
      <c r="B24" t="str">
        <f t="shared" si="0"/>
        <v>'2024'</v>
      </c>
    </row>
    <row r="25" spans="1:2" x14ac:dyDescent="0.25">
      <c r="A25">
        <v>2025</v>
      </c>
      <c r="B25" t="str">
        <f t="shared" si="0"/>
        <v>'2025'</v>
      </c>
    </row>
    <row r="26" spans="1:2" x14ac:dyDescent="0.25">
      <c r="A26">
        <v>2026</v>
      </c>
      <c r="B26" t="str">
        <f t="shared" si="0"/>
        <v>'2026'</v>
      </c>
    </row>
    <row r="27" spans="1:2" x14ac:dyDescent="0.25">
      <c r="A27">
        <v>2027</v>
      </c>
      <c r="B27" t="str">
        <f t="shared" si="0"/>
        <v>'2027'</v>
      </c>
    </row>
    <row r="28" spans="1:2" x14ac:dyDescent="0.25">
      <c r="A28">
        <v>2028</v>
      </c>
      <c r="B28" t="str">
        <f t="shared" si="0"/>
        <v>'2028'</v>
      </c>
    </row>
    <row r="29" spans="1:2" x14ac:dyDescent="0.25">
      <c r="A29">
        <v>2029</v>
      </c>
      <c r="B29" t="str">
        <f t="shared" si="0"/>
        <v>'2029'</v>
      </c>
    </row>
    <row r="30" spans="1:2" x14ac:dyDescent="0.25">
      <c r="A30">
        <v>2030</v>
      </c>
      <c r="B30" t="str">
        <f t="shared" si="0"/>
        <v>'2030'</v>
      </c>
    </row>
    <row r="31" spans="1:2" x14ac:dyDescent="0.25">
      <c r="A31">
        <v>2031</v>
      </c>
      <c r="B31" t="str">
        <f t="shared" si="0"/>
        <v>'2031'</v>
      </c>
    </row>
    <row r="32" spans="1:2" x14ac:dyDescent="0.25">
      <c r="A32">
        <v>2032</v>
      </c>
      <c r="B32" t="str">
        <f t="shared" si="0"/>
        <v>'2032'</v>
      </c>
    </row>
    <row r="33" spans="1:2" x14ac:dyDescent="0.25">
      <c r="A33">
        <v>2033</v>
      </c>
      <c r="B33" t="str">
        <f t="shared" ref="B33:B50" si="1">"'" &amp; A33 &amp; "'"</f>
        <v>'2033'</v>
      </c>
    </row>
    <row r="34" spans="1:2" x14ac:dyDescent="0.25">
      <c r="A34">
        <v>2034</v>
      </c>
      <c r="B34" t="str">
        <f t="shared" si="1"/>
        <v>'2034'</v>
      </c>
    </row>
    <row r="35" spans="1:2" x14ac:dyDescent="0.25">
      <c r="A35">
        <v>2035</v>
      </c>
      <c r="B35" t="str">
        <f t="shared" si="1"/>
        <v>'2035'</v>
      </c>
    </row>
    <row r="36" spans="1:2" x14ac:dyDescent="0.25">
      <c r="A36">
        <v>2036</v>
      </c>
      <c r="B36" t="str">
        <f t="shared" si="1"/>
        <v>'2036'</v>
      </c>
    </row>
    <row r="37" spans="1:2" x14ac:dyDescent="0.25">
      <c r="A37">
        <v>2037</v>
      </c>
      <c r="B37" t="str">
        <f t="shared" si="1"/>
        <v>'2037'</v>
      </c>
    </row>
    <row r="38" spans="1:2" x14ac:dyDescent="0.25">
      <c r="A38">
        <v>2038</v>
      </c>
      <c r="B38" t="str">
        <f t="shared" si="1"/>
        <v>'2038'</v>
      </c>
    </row>
    <row r="39" spans="1:2" x14ac:dyDescent="0.25">
      <c r="A39">
        <v>2039</v>
      </c>
      <c r="B39" t="str">
        <f t="shared" si="1"/>
        <v>'2039'</v>
      </c>
    </row>
    <row r="40" spans="1:2" x14ac:dyDescent="0.25">
      <c r="A40">
        <v>2040</v>
      </c>
      <c r="B40" t="str">
        <f t="shared" si="1"/>
        <v>'2040'</v>
      </c>
    </row>
    <row r="41" spans="1:2" x14ac:dyDescent="0.25">
      <c r="A41">
        <v>2041</v>
      </c>
      <c r="B41" t="str">
        <f t="shared" si="1"/>
        <v>'2041'</v>
      </c>
    </row>
    <row r="42" spans="1:2" x14ac:dyDescent="0.25">
      <c r="A42">
        <v>2042</v>
      </c>
      <c r="B42" t="str">
        <f t="shared" si="1"/>
        <v>'2042'</v>
      </c>
    </row>
    <row r="43" spans="1:2" x14ac:dyDescent="0.25">
      <c r="A43">
        <v>2043</v>
      </c>
      <c r="B43" t="str">
        <f t="shared" si="1"/>
        <v>'2043'</v>
      </c>
    </row>
    <row r="44" spans="1:2" x14ac:dyDescent="0.25">
      <c r="A44">
        <v>2044</v>
      </c>
      <c r="B44" t="str">
        <f t="shared" si="1"/>
        <v>'2044'</v>
      </c>
    </row>
    <row r="45" spans="1:2" x14ac:dyDescent="0.25">
      <c r="A45">
        <v>2045</v>
      </c>
      <c r="B45" t="str">
        <f t="shared" si="1"/>
        <v>'2045'</v>
      </c>
    </row>
    <row r="46" spans="1:2" x14ac:dyDescent="0.25">
      <c r="A46">
        <v>2046</v>
      </c>
      <c r="B46" t="str">
        <f t="shared" si="1"/>
        <v>'2046'</v>
      </c>
    </row>
    <row r="47" spans="1:2" x14ac:dyDescent="0.25">
      <c r="A47">
        <v>2047</v>
      </c>
      <c r="B47" t="str">
        <f t="shared" si="1"/>
        <v>'2047'</v>
      </c>
    </row>
    <row r="48" spans="1:2" x14ac:dyDescent="0.25">
      <c r="A48">
        <v>2048</v>
      </c>
      <c r="B48" t="str">
        <f t="shared" si="1"/>
        <v>'2048'</v>
      </c>
    </row>
    <row r="49" spans="1:2" x14ac:dyDescent="0.25">
      <c r="A49">
        <v>2049</v>
      </c>
      <c r="B49" t="str">
        <f t="shared" si="1"/>
        <v>'2049'</v>
      </c>
    </row>
    <row r="50" spans="1:2" x14ac:dyDescent="0.25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4"/>
  <sheetViews>
    <sheetView workbookViewId="0">
      <selection activeCell="B38" sqref="B38"/>
    </sheetView>
  </sheetViews>
  <sheetFormatPr defaultRowHeight="15" x14ac:dyDescent="0.25"/>
  <cols>
    <col min="1" max="1" width="15.5703125" customWidth="1"/>
    <col min="2" max="2" width="17" customWidth="1"/>
  </cols>
  <sheetData>
    <row r="1" spans="1:2" x14ac:dyDescent="0.25">
      <c r="A1">
        <v>1001</v>
      </c>
      <c r="B1" t="str">
        <f t="shared" ref="B1:B32" si="0">"'" &amp; A1 &amp; "'"</f>
        <v>'1001'</v>
      </c>
    </row>
    <row r="2" spans="1:2" x14ac:dyDescent="0.25">
      <c r="A2">
        <v>1002</v>
      </c>
      <c r="B2" t="str">
        <f t="shared" si="0"/>
        <v>'1002'</v>
      </c>
    </row>
    <row r="3" spans="1:2" x14ac:dyDescent="0.25">
      <c r="A3">
        <v>1003</v>
      </c>
      <c r="B3" t="str">
        <f t="shared" si="0"/>
        <v>'1003'</v>
      </c>
    </row>
    <row r="4" spans="1:2" x14ac:dyDescent="0.25">
      <c r="A4">
        <v>1004</v>
      </c>
      <c r="B4" t="str">
        <f t="shared" si="0"/>
        <v>'1004'</v>
      </c>
    </row>
    <row r="5" spans="1:2" x14ac:dyDescent="0.25">
      <c r="A5">
        <v>1005</v>
      </c>
      <c r="B5" t="str">
        <f t="shared" si="0"/>
        <v>'1005'</v>
      </c>
    </row>
    <row r="6" spans="1:2" x14ac:dyDescent="0.25">
      <c r="A6">
        <v>1006</v>
      </c>
      <c r="B6" t="str">
        <f t="shared" si="0"/>
        <v>'1006'</v>
      </c>
    </row>
    <row r="7" spans="1:2" x14ac:dyDescent="0.25">
      <c r="A7">
        <v>1007</v>
      </c>
      <c r="B7" t="str">
        <f t="shared" si="0"/>
        <v>'1007'</v>
      </c>
    </row>
    <row r="8" spans="1:2" x14ac:dyDescent="0.25">
      <c r="A8">
        <v>1008</v>
      </c>
      <c r="B8" t="str">
        <f t="shared" si="0"/>
        <v>'1008'</v>
      </c>
    </row>
    <row r="9" spans="1:2" x14ac:dyDescent="0.25">
      <c r="A9">
        <v>1009</v>
      </c>
      <c r="B9" t="str">
        <f t="shared" si="0"/>
        <v>'1009'</v>
      </c>
    </row>
    <row r="10" spans="1:2" x14ac:dyDescent="0.25">
      <c r="A10">
        <v>1010</v>
      </c>
      <c r="B10" t="str">
        <f t="shared" si="0"/>
        <v>'1010'</v>
      </c>
    </row>
    <row r="11" spans="1:2" x14ac:dyDescent="0.25">
      <c r="A11">
        <v>1011</v>
      </c>
      <c r="B11" t="str">
        <f t="shared" si="0"/>
        <v>'1011'</v>
      </c>
    </row>
    <row r="12" spans="1:2" x14ac:dyDescent="0.25">
      <c r="A12">
        <v>1012</v>
      </c>
      <c r="B12" t="str">
        <f t="shared" si="0"/>
        <v>'1012'</v>
      </c>
    </row>
    <row r="13" spans="1:2" x14ac:dyDescent="0.25">
      <c r="A13">
        <v>1013</v>
      </c>
      <c r="B13" t="str">
        <f t="shared" si="0"/>
        <v>'1013'</v>
      </c>
    </row>
    <row r="14" spans="1:2" x14ac:dyDescent="0.25">
      <c r="A14">
        <v>1014</v>
      </c>
      <c r="B14" t="str">
        <f t="shared" si="0"/>
        <v>'1014'</v>
      </c>
    </row>
    <row r="15" spans="1:2" x14ac:dyDescent="0.25">
      <c r="A15">
        <v>1015</v>
      </c>
      <c r="B15" t="str">
        <f t="shared" si="0"/>
        <v>'1015'</v>
      </c>
    </row>
    <row r="16" spans="1:2" x14ac:dyDescent="0.25">
      <c r="A16">
        <v>1016</v>
      </c>
      <c r="B16" t="str">
        <f t="shared" si="0"/>
        <v>'1016'</v>
      </c>
    </row>
    <row r="17" spans="1:2" x14ac:dyDescent="0.25">
      <c r="A17">
        <v>1017</v>
      </c>
      <c r="B17" t="str">
        <f t="shared" si="0"/>
        <v>'1017'</v>
      </c>
    </row>
    <row r="18" spans="1:2" x14ac:dyDescent="0.25">
      <c r="A18">
        <v>1018</v>
      </c>
      <c r="B18" t="str">
        <f t="shared" si="0"/>
        <v>'1018'</v>
      </c>
    </row>
    <row r="19" spans="1:2" x14ac:dyDescent="0.25">
      <c r="A19">
        <v>1019</v>
      </c>
      <c r="B19" t="str">
        <f t="shared" si="0"/>
        <v>'1019'</v>
      </c>
    </row>
    <row r="20" spans="1:2" x14ac:dyDescent="0.25">
      <c r="A20">
        <v>1020</v>
      </c>
      <c r="B20" t="str">
        <f t="shared" si="0"/>
        <v>'1020'</v>
      </c>
    </row>
    <row r="21" spans="1:2" x14ac:dyDescent="0.25">
      <c r="A21">
        <v>1021</v>
      </c>
      <c r="B21" t="str">
        <f t="shared" si="0"/>
        <v>'1021'</v>
      </c>
    </row>
    <row r="22" spans="1:2" x14ac:dyDescent="0.25">
      <c r="A22">
        <v>1022</v>
      </c>
      <c r="B22" t="str">
        <f t="shared" si="0"/>
        <v>'1022'</v>
      </c>
    </row>
    <row r="23" spans="1:2" x14ac:dyDescent="0.25">
      <c r="A23">
        <v>1023</v>
      </c>
      <c r="B23" t="str">
        <f t="shared" si="0"/>
        <v>'1023'</v>
      </c>
    </row>
    <row r="24" spans="1:2" x14ac:dyDescent="0.25">
      <c r="A24">
        <v>1024</v>
      </c>
      <c r="B24" t="str">
        <f t="shared" si="0"/>
        <v>'1024'</v>
      </c>
    </row>
    <row r="25" spans="1:2" x14ac:dyDescent="0.25">
      <c r="A25">
        <v>1025</v>
      </c>
      <c r="B25" t="str">
        <f t="shared" si="0"/>
        <v>'1025'</v>
      </c>
    </row>
    <row r="26" spans="1:2" x14ac:dyDescent="0.25">
      <c r="A26">
        <v>1026</v>
      </c>
      <c r="B26" t="str">
        <f t="shared" si="0"/>
        <v>'1026'</v>
      </c>
    </row>
    <row r="27" spans="1:2" x14ac:dyDescent="0.25">
      <c r="A27">
        <v>1027</v>
      </c>
      <c r="B27" t="str">
        <f t="shared" si="0"/>
        <v>'1027'</v>
      </c>
    </row>
    <row r="28" spans="1:2" x14ac:dyDescent="0.25">
      <c r="A28">
        <v>1028</v>
      </c>
      <c r="B28" t="str">
        <f t="shared" si="0"/>
        <v>'1028'</v>
      </c>
    </row>
    <row r="29" spans="1:2" x14ac:dyDescent="0.25">
      <c r="A29">
        <v>1029</v>
      </c>
      <c r="B29" t="str">
        <f t="shared" si="0"/>
        <v>'1029'</v>
      </c>
    </row>
    <row r="30" spans="1:2" x14ac:dyDescent="0.25">
      <c r="A30">
        <v>1030</v>
      </c>
      <c r="B30" t="str">
        <f t="shared" si="0"/>
        <v>'1030'</v>
      </c>
    </row>
    <row r="31" spans="1:2" x14ac:dyDescent="0.25">
      <c r="A31">
        <v>1031</v>
      </c>
      <c r="B31" t="str">
        <f t="shared" si="0"/>
        <v>'1031'</v>
      </c>
    </row>
    <row r="32" spans="1:2" x14ac:dyDescent="0.25">
      <c r="A32">
        <v>1032</v>
      </c>
      <c r="B32" t="str">
        <f t="shared" si="0"/>
        <v>'1032'</v>
      </c>
    </row>
    <row r="33" spans="1:2" x14ac:dyDescent="0.25">
      <c r="A33">
        <v>1033</v>
      </c>
      <c r="B33" t="str">
        <f t="shared" ref="B33:B50" si="1">"'" &amp; A33 &amp; "'"</f>
        <v>'1033'</v>
      </c>
    </row>
    <row r="34" spans="1:2" x14ac:dyDescent="0.25">
      <c r="A34">
        <v>1034</v>
      </c>
      <c r="B34" t="str">
        <f t="shared" si="1"/>
        <v>'1034'</v>
      </c>
    </row>
    <row r="35" spans="1:2" x14ac:dyDescent="0.25">
      <c r="A35">
        <v>1035</v>
      </c>
      <c r="B35" t="str">
        <f t="shared" si="1"/>
        <v>'1035'</v>
      </c>
    </row>
    <row r="36" spans="1:2" x14ac:dyDescent="0.25">
      <c r="A36">
        <v>1036</v>
      </c>
      <c r="B36" t="str">
        <f t="shared" si="1"/>
        <v>'1036'</v>
      </c>
    </row>
    <row r="37" spans="1:2" x14ac:dyDescent="0.25">
      <c r="A37">
        <v>1037</v>
      </c>
      <c r="B37" t="str">
        <f t="shared" si="1"/>
        <v>'1037'</v>
      </c>
    </row>
    <row r="38" spans="1:2" x14ac:dyDescent="0.25">
      <c r="A38">
        <v>1038</v>
      </c>
      <c r="B38" t="str">
        <f t="shared" si="1"/>
        <v>'1038'</v>
      </c>
    </row>
    <row r="39" spans="1:2" x14ac:dyDescent="0.25">
      <c r="A39">
        <v>1039</v>
      </c>
      <c r="B39" t="str">
        <f t="shared" si="1"/>
        <v>'1039'</v>
      </c>
    </row>
    <row r="40" spans="1:2" x14ac:dyDescent="0.25">
      <c r="A40">
        <v>1040</v>
      </c>
      <c r="B40" t="str">
        <f t="shared" si="1"/>
        <v>'1040'</v>
      </c>
    </row>
    <row r="41" spans="1:2" x14ac:dyDescent="0.25">
      <c r="A41">
        <v>1041</v>
      </c>
      <c r="B41" t="str">
        <f t="shared" si="1"/>
        <v>'1041'</v>
      </c>
    </row>
    <row r="42" spans="1:2" x14ac:dyDescent="0.25">
      <c r="A42">
        <v>1042</v>
      </c>
      <c r="B42" t="str">
        <f t="shared" si="1"/>
        <v>'1042'</v>
      </c>
    </row>
    <row r="43" spans="1:2" x14ac:dyDescent="0.25">
      <c r="A43">
        <v>1043</v>
      </c>
      <c r="B43" t="str">
        <f t="shared" si="1"/>
        <v>'1043'</v>
      </c>
    </row>
    <row r="44" spans="1:2" x14ac:dyDescent="0.25">
      <c r="A44">
        <v>1044</v>
      </c>
      <c r="B44" t="str">
        <f t="shared" si="1"/>
        <v>'1044'</v>
      </c>
    </row>
    <row r="45" spans="1:2" x14ac:dyDescent="0.25">
      <c r="A45">
        <v>1045</v>
      </c>
      <c r="B45" t="str">
        <f t="shared" si="1"/>
        <v>'1045'</v>
      </c>
    </row>
    <row r="46" spans="1:2" x14ac:dyDescent="0.25">
      <c r="A46">
        <v>1046</v>
      </c>
      <c r="B46" t="str">
        <f t="shared" si="1"/>
        <v>'1046'</v>
      </c>
    </row>
    <row r="47" spans="1:2" x14ac:dyDescent="0.25">
      <c r="A47">
        <v>1047</v>
      </c>
      <c r="B47" t="str">
        <f t="shared" si="1"/>
        <v>'1047'</v>
      </c>
    </row>
    <row r="48" spans="1:2" x14ac:dyDescent="0.25">
      <c r="A48">
        <v>1048</v>
      </c>
      <c r="B48" t="str">
        <f t="shared" si="1"/>
        <v>'1048'</v>
      </c>
    </row>
    <row r="49" spans="1:2" x14ac:dyDescent="0.25">
      <c r="A49">
        <v>1049</v>
      </c>
      <c r="B49" t="str">
        <f t="shared" si="1"/>
        <v>'1049'</v>
      </c>
    </row>
    <row r="50" spans="1:2" x14ac:dyDescent="0.25">
      <c r="A50">
        <v>1050</v>
      </c>
      <c r="B50" t="str">
        <f t="shared" si="1"/>
        <v>'1050'</v>
      </c>
    </row>
    <row r="51" spans="1:2" x14ac:dyDescent="0.25">
      <c r="A51">
        <v>1051</v>
      </c>
      <c r="B51" t="str">
        <f t="shared" ref="B51:B64" si="2">"'" &amp; A51 &amp; "'"</f>
        <v>'1051'</v>
      </c>
    </row>
    <row r="52" spans="1:2" x14ac:dyDescent="0.25">
      <c r="A52">
        <v>1052</v>
      </c>
      <c r="B52" t="str">
        <f t="shared" si="2"/>
        <v>'1052'</v>
      </c>
    </row>
    <row r="53" spans="1:2" x14ac:dyDescent="0.25">
      <c r="A53">
        <v>1053</v>
      </c>
      <c r="B53" t="str">
        <f t="shared" si="2"/>
        <v>'1053'</v>
      </c>
    </row>
    <row r="54" spans="1:2" x14ac:dyDescent="0.25">
      <c r="A54">
        <v>1054</v>
      </c>
      <c r="B54" t="str">
        <f t="shared" si="2"/>
        <v>'1054'</v>
      </c>
    </row>
    <row r="55" spans="1:2" x14ac:dyDescent="0.25">
      <c r="A55">
        <v>1055</v>
      </c>
      <c r="B55" t="str">
        <f t="shared" si="2"/>
        <v>'1055'</v>
      </c>
    </row>
    <row r="56" spans="1:2" x14ac:dyDescent="0.25">
      <c r="A56">
        <v>1056</v>
      </c>
      <c r="B56" t="str">
        <f t="shared" si="2"/>
        <v>'1056'</v>
      </c>
    </row>
    <row r="57" spans="1:2" x14ac:dyDescent="0.25">
      <c r="A57">
        <v>1057</v>
      </c>
      <c r="B57" t="str">
        <f t="shared" si="2"/>
        <v>'1057'</v>
      </c>
    </row>
    <row r="58" spans="1:2" x14ac:dyDescent="0.25">
      <c r="A58">
        <v>1058</v>
      </c>
      <c r="B58" t="str">
        <f t="shared" si="2"/>
        <v>'1058'</v>
      </c>
    </row>
    <row r="59" spans="1:2" x14ac:dyDescent="0.25">
      <c r="A59">
        <v>1059</v>
      </c>
      <c r="B59" t="str">
        <f t="shared" si="2"/>
        <v>'1059'</v>
      </c>
    </row>
    <row r="60" spans="1:2" x14ac:dyDescent="0.25">
      <c r="A60">
        <v>1060</v>
      </c>
      <c r="B60" t="str">
        <f t="shared" si="2"/>
        <v>'1060'</v>
      </c>
    </row>
    <row r="61" spans="1:2" x14ac:dyDescent="0.25">
      <c r="A61">
        <v>1061</v>
      </c>
      <c r="B61" t="str">
        <f t="shared" si="2"/>
        <v>'1061'</v>
      </c>
    </row>
    <row r="62" spans="1:2" x14ac:dyDescent="0.25">
      <c r="A62">
        <v>1062</v>
      </c>
      <c r="B62" t="str">
        <f t="shared" si="2"/>
        <v>'1062'</v>
      </c>
    </row>
    <row r="63" spans="1:2" x14ac:dyDescent="0.25">
      <c r="A63">
        <v>1063</v>
      </c>
      <c r="B63" t="str">
        <f t="shared" si="2"/>
        <v>'1063'</v>
      </c>
    </row>
    <row r="64" spans="1:2" x14ac:dyDescent="0.25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2025-11-04T20:53:08Z</dcterms:modified>
</cp:coreProperties>
</file>